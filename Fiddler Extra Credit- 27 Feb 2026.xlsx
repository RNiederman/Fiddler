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Python_Projects\MC\Fiddlers\"/>
    </mc:Choice>
  </mc:AlternateContent>
  <xr:revisionPtr revIDLastSave="0" documentId="13_ncr:1_{02FAF350-39F7-4E49-A324-0BFFE9A784FC}" xr6:coauthVersionLast="47" xr6:coauthVersionMax="47" xr10:uidLastSave="{00000000-0000-0000-0000-000000000000}"/>
  <bookViews>
    <workbookView xWindow="-120" yWindow="-120" windowWidth="29040" windowHeight="15720" xr2:uid="{418E0AE5-0265-471A-A25D-CB0D3FE436A1}"/>
  </bookViews>
  <sheets>
    <sheet name="Op Model" sheetId="1" r:id="rId1"/>
    <sheet name="Soln Sets" sheetId="2" r:id="rId2"/>
  </sheets>
  <definedNames>
    <definedName name="solver_adj" localSheetId="0" hidden="1">'Op Model'!$C$2:$C$13</definedName>
    <definedName name="solver_cvg" localSheetId="0" hidden="1">0.0001</definedName>
    <definedName name="solver_drv" localSheetId="0" hidden="1">1</definedName>
    <definedName name="solver_eng" localSheetId="0" hidden="1">3</definedName>
    <definedName name="solver_est" localSheetId="0" hidden="1">1</definedName>
    <definedName name="solver_itr" localSheetId="0" hidden="1">2147483647</definedName>
    <definedName name="solver_lhs1" localSheetId="0" hidden="1">'Op Model'!$C$2:$C$13</definedName>
    <definedName name="solver_lhs2" localSheetId="0" hidden="1">'Op Model'!$C$2:$C$13</definedName>
    <definedName name="solver_lhs3" localSheetId="0" hidden="1">'Op Model'!$C$2:$C$13</definedName>
    <definedName name="solver_lhs4" localSheetId="0" hidden="1">'Op Model'!$E$13</definedName>
    <definedName name="solver_lhs5" localSheetId="0" hidden="1">'Op Model'!$E$13</definedName>
    <definedName name="solver_lhs6" localSheetId="0" hidden="1">'Op Model'!$E$13</definedName>
    <definedName name="solver_mip" localSheetId="0" hidden="1">2147483647</definedName>
    <definedName name="solver_mni" localSheetId="0" hidden="1">150</definedName>
    <definedName name="solver_mrt" localSheetId="0" hidden="1">0.375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5</definedName>
    <definedName name="solver_nwt" localSheetId="0" hidden="1">1</definedName>
    <definedName name="solver_opt" localSheetId="0" hidden="1">'Op Model'!$J$9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4</definedName>
    <definedName name="solver_rel3" localSheetId="0" hidden="1">3</definedName>
    <definedName name="solver_rel4" localSheetId="0" hidden="1">1</definedName>
    <definedName name="solver_rel5" localSheetId="0" hidden="1">3</definedName>
    <definedName name="solver_rel6" localSheetId="0" hidden="1">3</definedName>
    <definedName name="solver_rhs1" localSheetId="0" hidden="1">31</definedName>
    <definedName name="solver_rhs2" localSheetId="0" hidden="1">"integer"</definedName>
    <definedName name="solver_rhs3" localSheetId="0" hidden="1">28</definedName>
    <definedName name="solver_rhs4" localSheetId="0" hidden="1">366</definedName>
    <definedName name="solver_rhs5" localSheetId="0" hidden="1">365</definedName>
    <definedName name="solver_rhs6" localSheetId="0" hidden="1">365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120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2" l="1"/>
  <c r="B15" i="2"/>
  <c r="F2" i="1"/>
  <c r="E2" i="1"/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D3" i="1" l="1"/>
  <c r="F3" i="1" s="1"/>
  <c r="E3" i="1"/>
  <c r="E4" i="1" s="1"/>
  <c r="D5" i="1" s="1"/>
  <c r="F5" i="1" s="1"/>
  <c r="D4" i="1" l="1"/>
  <c r="F4" i="1" s="1"/>
  <c r="E5" i="1"/>
  <c r="D6" i="1" s="1"/>
  <c r="F6" i="1" s="1"/>
  <c r="E6" i="1" l="1"/>
  <c r="D7" i="1" s="1"/>
  <c r="F7" i="1" s="1"/>
  <c r="E7" i="1" l="1"/>
  <c r="D8" i="1" s="1"/>
  <c r="F8" i="1" s="1"/>
  <c r="E8" i="1" l="1"/>
  <c r="D9" i="1" s="1"/>
  <c r="F9" i="1" s="1"/>
  <c r="E9" i="1" l="1"/>
  <c r="D10" i="1" s="1"/>
  <c r="F10" i="1" s="1"/>
  <c r="E10" i="1" l="1"/>
  <c r="D11" i="1" s="1"/>
  <c r="F11" i="1" s="1"/>
  <c r="E11" i="1" l="1"/>
  <c r="D12" i="1" s="1"/>
  <c r="F12" i="1" s="1"/>
  <c r="E12" i="1" l="1"/>
  <c r="D13" i="1" s="1"/>
  <c r="F13" i="1" s="1"/>
  <c r="E13" i="1" l="1"/>
  <c r="I3" i="1" l="1"/>
  <c r="J3" i="1" s="1"/>
  <c r="I2" i="1"/>
  <c r="J2" i="1" s="1"/>
  <c r="I8" i="1"/>
  <c r="J8" i="1" s="1"/>
  <c r="I5" i="1"/>
  <c r="J5" i="1" s="1"/>
  <c r="I4" i="1"/>
  <c r="J4" i="1" s="1"/>
  <c r="I7" i="1"/>
  <c r="J7" i="1" s="1"/>
  <c r="I6" i="1"/>
  <c r="J6" i="1" s="1"/>
  <c r="J9" i="1" l="1"/>
</calcChain>
</file>

<file path=xl/sharedStrings.xml><?xml version="1.0" encoding="utf-8"?>
<sst xmlns="http://schemas.openxmlformats.org/spreadsheetml/2006/main" count="38" uniqueCount="25">
  <si>
    <t>Days</t>
  </si>
  <si>
    <t>Last_Day</t>
  </si>
  <si>
    <t>DoW</t>
  </si>
  <si>
    <t>First_Day</t>
  </si>
  <si>
    <t>Month_Name</t>
  </si>
  <si>
    <t>n</t>
  </si>
  <si>
    <t>Is_a_First_Day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</si>
  <si>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</si>
  <si>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</si>
  <si>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</si>
  <si>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</si>
  <si>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</si>
  <si>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</si>
  <si>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</si>
  <si>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</si>
  <si>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</si>
  <si>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</si>
  <si>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</si>
  <si>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</si>
  <si>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Month_Numb</t>
  </si>
  <si>
    <t>"Defaults"</t>
  </si>
  <si>
    <t xml:space="preserve">https://thefiddler.substack.com/p/can-every-day-be-first </t>
  </si>
  <si>
    <t>&lt;- Minimize This!</t>
  </si>
  <si>
    <t>S2</t>
  </si>
  <si>
    <t>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</si>
</sst>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4" x14ac:knownFonts="1">
    <font>
      <sz val="11"/>
      <color theme="1"/>
      <name val="Consolas"/>
      <family val="2"/>
    </font>
    <font>
      <b/>
      <sz val="11"/>
      <color theme="1"/>
      <name val="Consolas"/>
      <family val="3"/>
    </font>
    <font>
      <u/>
      <sz val="11"/>
      <color theme="10"/>
      <name val="Consolas"/>
      <family val="2"/>
    </font>
    <font>
      <sz val="8"/>
      <name val="Consolas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1" fillId="2" borderId="1" xfId="0" applyFont="1" applyFill="1" applyBorder="1"/>
    <xf numFmtId="0" fontId="0" fillId="4" borderId="0" xfId="0" applyFill="1"/>
    <xf numFmtId="0" fontId="2" fillId="4" borderId="0" xfId="1" applyFill="1"/>
    <xf numFmtId="0" fontId="0" fillId="4" borderId="0" xfId="0" applyFill="1" applyAlignment="1">
      <alignment horizontal="center"/>
    </xf>
    <xf numFmtId="0" fontId="0" fillId="4" borderId="2" xfId="0" applyFill="1" applyBorder="1" applyAlignment="1">
      <alignment horizontal="center"/>
    </xf>
    <xf numFmtId="164" fontId="0" fillId="4" borderId="2" xfId="0" applyNumberFormat="1" applyFill="1" applyBorder="1" applyAlignment="1">
      <alignment horizontal="center"/>
    </xf>
    <xf numFmtId="0" fontId="0" fillId="4" borderId="0" xfId="0" applyFill="1" applyAlignment="1">
      <alignment horizontal="left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/>
    <xf numFmtId="1" fontId="0" fillId="5" borderId="1" xfId="0" applyNumberForma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2" fillId="0" borderId="1" xfId="1" applyFill="1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4">
    <dxf>
      <font>
        <b/>
        <i val="0"/>
        <strike val="0"/>
      </font>
      <fill>
        <patternFill>
          <bgColor rgb="FFFF0000"/>
        </patternFill>
      </fill>
    </dxf>
    <dxf>
      <font>
        <b/>
        <i val="0"/>
        <strike val="0"/>
      </font>
      <fill>
        <patternFill>
          <bgColor rgb="FFFF0000"/>
        </patternFill>
      </fill>
    </dxf>
    <dxf>
      <font>
        <b/>
        <i val="0"/>
        <strike val="0"/>
      </font>
      <fill>
        <patternFill>
          <bgColor rgb="FFFF0000"/>
        </patternFill>
      </fill>
    </dxf>
    <dxf>
      <font>
        <b/>
        <i val="0"/>
        <strike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thefiddler.substack.com/p/can-every-day-be-fir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D11B1-5312-44D2-9594-F3F3B4D838A1}">
  <dimension ref="A1:M17"/>
  <sheetViews>
    <sheetView tabSelected="1" workbookViewId="0">
      <selection activeCell="A14" sqref="A14"/>
    </sheetView>
  </sheetViews>
  <sheetFormatPr defaultRowHeight="15" x14ac:dyDescent="0.25"/>
  <cols>
    <col min="1" max="2" width="10.875" style="2" bestFit="1" customWidth="1"/>
    <col min="3" max="3" width="4.875" style="2" bestFit="1" customWidth="1"/>
    <col min="4" max="4" width="9.875" style="2" bestFit="1" customWidth="1"/>
    <col min="5" max="5" width="8.875" style="2" bestFit="1" customWidth="1"/>
    <col min="6" max="6" width="3.875" style="2" bestFit="1" customWidth="1"/>
    <col min="7" max="7" width="3.625" style="2" customWidth="1"/>
    <col min="8" max="8" width="3.875" style="2" bestFit="1" customWidth="1"/>
    <col min="9" max="9" width="1.875" style="2" bestFit="1" customWidth="1"/>
    <col min="10" max="10" width="15" style="2" bestFit="1" customWidth="1"/>
    <col min="11" max="11" width="17.125" style="2" bestFit="1" customWidth="1"/>
    <col min="12" max="12" width="3.625" style="2" customWidth="1"/>
    <col min="13" max="13" width="10.875" style="2" bestFit="1" customWidth="1"/>
    <col min="14" max="16384" width="9" style="2"/>
  </cols>
  <sheetData>
    <row r="1" spans="1:13" x14ac:dyDescent="0.25">
      <c r="A1" s="1" t="s">
        <v>19</v>
      </c>
      <c r="B1" s="1" t="s">
        <v>4</v>
      </c>
      <c r="C1" s="1" t="s">
        <v>0</v>
      </c>
      <c r="D1" s="1" t="s">
        <v>3</v>
      </c>
      <c r="E1" s="1" t="s">
        <v>1</v>
      </c>
      <c r="F1" s="1" t="s">
        <v>2</v>
      </c>
      <c r="H1" s="1" t="s">
        <v>2</v>
      </c>
      <c r="I1" s="1" t="s">
        <v>5</v>
      </c>
      <c r="J1" s="1" t="s">
        <v>6</v>
      </c>
      <c r="K1" s="3"/>
      <c r="M1" s="1" t="s">
        <v>20</v>
      </c>
    </row>
    <row r="2" spans="1:13" x14ac:dyDescent="0.25">
      <c r="A2" s="8">
        <v>1</v>
      </c>
      <c r="B2" s="8" t="s">
        <v>7</v>
      </c>
      <c r="C2" s="17">
        <v>31</v>
      </c>
      <c r="D2" s="9">
        <v>1</v>
      </c>
      <c r="E2" s="9">
        <f>C2</f>
        <v>31</v>
      </c>
      <c r="F2" s="14">
        <f>MOD(D2,7)+1</f>
        <v>2</v>
      </c>
      <c r="H2" s="8">
        <v>1</v>
      </c>
      <c r="I2" s="8">
        <f>COUNTIF($F$2:$F$13,H2)</f>
        <v>0</v>
      </c>
      <c r="J2" s="8">
        <f>SIGN(I2)</f>
        <v>0</v>
      </c>
      <c r="M2" s="11">
        <v>31</v>
      </c>
    </row>
    <row r="3" spans="1:13" x14ac:dyDescent="0.25">
      <c r="A3" s="8">
        <f>A2+1</f>
        <v>2</v>
      </c>
      <c r="B3" s="8" t="s">
        <v>8</v>
      </c>
      <c r="C3" s="17">
        <v>30</v>
      </c>
      <c r="D3" s="9">
        <f>E2+1</f>
        <v>32</v>
      </c>
      <c r="E3" s="9">
        <f>E2+C3</f>
        <v>61</v>
      </c>
      <c r="F3" s="14">
        <f t="shared" ref="F3:F13" si="0">MOD(D3,7)+1</f>
        <v>5</v>
      </c>
      <c r="H3" s="8">
        <v>2</v>
      </c>
      <c r="I3" s="8">
        <f t="shared" ref="I3:I8" si="1">COUNTIF($F$2:$F$13,H3)</f>
        <v>4</v>
      </c>
      <c r="J3" s="8">
        <f t="shared" ref="J3:J8" si="2">SIGN(I3)</f>
        <v>1</v>
      </c>
      <c r="M3" s="11">
        <v>28</v>
      </c>
    </row>
    <row r="4" spans="1:13" x14ac:dyDescent="0.25">
      <c r="A4" s="8">
        <f t="shared" ref="A4:A12" si="3">A3+1</f>
        <v>3</v>
      </c>
      <c r="B4" s="8" t="s">
        <v>9</v>
      </c>
      <c r="C4" s="17">
        <v>30</v>
      </c>
      <c r="D4" s="9">
        <f t="shared" ref="D4:D13" si="4">E3+1</f>
        <v>62</v>
      </c>
      <c r="E4" s="9">
        <f t="shared" ref="E4:E13" si="5">E3+C4</f>
        <v>91</v>
      </c>
      <c r="F4" s="14">
        <f t="shared" si="0"/>
        <v>7</v>
      </c>
      <c r="H4" s="8">
        <v>3</v>
      </c>
      <c r="I4" s="8">
        <f t="shared" si="1"/>
        <v>0</v>
      </c>
      <c r="J4" s="8">
        <f t="shared" si="2"/>
        <v>0</v>
      </c>
      <c r="M4" s="11">
        <v>31</v>
      </c>
    </row>
    <row r="5" spans="1:13" x14ac:dyDescent="0.25">
      <c r="A5" s="8">
        <f t="shared" si="3"/>
        <v>4</v>
      </c>
      <c r="B5" s="8" t="s">
        <v>10</v>
      </c>
      <c r="C5" s="17">
        <v>31</v>
      </c>
      <c r="D5" s="9">
        <f t="shared" si="4"/>
        <v>92</v>
      </c>
      <c r="E5" s="9">
        <f t="shared" si="5"/>
        <v>122</v>
      </c>
      <c r="F5" s="14">
        <f t="shared" si="0"/>
        <v>2</v>
      </c>
      <c r="H5" s="8">
        <v>4</v>
      </c>
      <c r="I5" s="8">
        <f t="shared" si="1"/>
        <v>0</v>
      </c>
      <c r="J5" s="8">
        <f t="shared" si="2"/>
        <v>0</v>
      </c>
      <c r="M5" s="11">
        <v>30</v>
      </c>
    </row>
    <row r="6" spans="1:13" x14ac:dyDescent="0.25">
      <c r="A6" s="8">
        <f t="shared" si="3"/>
        <v>5</v>
      </c>
      <c r="B6" s="8" t="s">
        <v>11</v>
      </c>
      <c r="C6" s="17">
        <v>30</v>
      </c>
      <c r="D6" s="9">
        <f t="shared" si="4"/>
        <v>123</v>
      </c>
      <c r="E6" s="9">
        <f t="shared" si="5"/>
        <v>152</v>
      </c>
      <c r="F6" s="14">
        <f t="shared" si="0"/>
        <v>5</v>
      </c>
      <c r="H6" s="8">
        <v>5</v>
      </c>
      <c r="I6" s="8">
        <f t="shared" si="1"/>
        <v>4</v>
      </c>
      <c r="J6" s="8">
        <f t="shared" si="2"/>
        <v>1</v>
      </c>
      <c r="M6" s="11">
        <v>31</v>
      </c>
    </row>
    <row r="7" spans="1:13" x14ac:dyDescent="0.25">
      <c r="A7" s="8">
        <f t="shared" si="3"/>
        <v>6</v>
      </c>
      <c r="B7" s="8" t="s">
        <v>12</v>
      </c>
      <c r="C7" s="17">
        <v>30</v>
      </c>
      <c r="D7" s="9">
        <f t="shared" si="4"/>
        <v>153</v>
      </c>
      <c r="E7" s="9">
        <f t="shared" si="5"/>
        <v>182</v>
      </c>
      <c r="F7" s="14">
        <f t="shared" si="0"/>
        <v>7</v>
      </c>
      <c r="H7" s="8">
        <v>6</v>
      </c>
      <c r="I7" s="8">
        <f t="shared" si="1"/>
        <v>0</v>
      </c>
      <c r="J7" s="8">
        <f t="shared" si="2"/>
        <v>0</v>
      </c>
      <c r="M7" s="11">
        <v>30</v>
      </c>
    </row>
    <row r="8" spans="1:13" ht="15.75" thickBot="1" x14ac:dyDescent="0.3">
      <c r="A8" s="8">
        <f t="shared" si="3"/>
        <v>7</v>
      </c>
      <c r="B8" s="8" t="s">
        <v>13</v>
      </c>
      <c r="C8" s="17">
        <v>31</v>
      </c>
      <c r="D8" s="9">
        <f t="shared" si="4"/>
        <v>183</v>
      </c>
      <c r="E8" s="9">
        <f t="shared" si="5"/>
        <v>213</v>
      </c>
      <c r="F8" s="14">
        <f t="shared" si="0"/>
        <v>2</v>
      </c>
      <c r="H8" s="8">
        <v>7</v>
      </c>
      <c r="I8" s="8">
        <f t="shared" si="1"/>
        <v>4</v>
      </c>
      <c r="J8" s="15">
        <f t="shared" si="2"/>
        <v>1</v>
      </c>
      <c r="M8" s="11">
        <v>31</v>
      </c>
    </row>
    <row r="9" spans="1:13" ht="15.75" thickBot="1" x14ac:dyDescent="0.3">
      <c r="A9" s="8">
        <f t="shared" si="3"/>
        <v>8</v>
      </c>
      <c r="B9" s="8" t="s">
        <v>14</v>
      </c>
      <c r="C9" s="17">
        <v>30</v>
      </c>
      <c r="D9" s="9">
        <f t="shared" si="4"/>
        <v>214</v>
      </c>
      <c r="E9" s="9">
        <f t="shared" si="5"/>
        <v>243</v>
      </c>
      <c r="F9" s="14">
        <f t="shared" si="0"/>
        <v>5</v>
      </c>
      <c r="J9" s="16">
        <f>SUM(J2:J8)</f>
        <v>3</v>
      </c>
      <c r="K9" s="2" t="s">
        <v>22</v>
      </c>
      <c r="M9" s="11">
        <v>31</v>
      </c>
    </row>
    <row r="10" spans="1:13" x14ac:dyDescent="0.25">
      <c r="A10" s="8">
        <f t="shared" si="3"/>
        <v>9</v>
      </c>
      <c r="B10" s="8" t="s">
        <v>15</v>
      </c>
      <c r="C10" s="17">
        <v>30</v>
      </c>
      <c r="D10" s="9">
        <f t="shared" si="4"/>
        <v>244</v>
      </c>
      <c r="E10" s="9">
        <f t="shared" si="5"/>
        <v>273</v>
      </c>
      <c r="F10" s="14">
        <f t="shared" si="0"/>
        <v>7</v>
      </c>
      <c r="M10" s="11">
        <v>30</v>
      </c>
    </row>
    <row r="11" spans="1:13" x14ac:dyDescent="0.25">
      <c r="A11" s="8">
        <f t="shared" si="3"/>
        <v>10</v>
      </c>
      <c r="B11" s="8" t="s">
        <v>16</v>
      </c>
      <c r="C11" s="17">
        <v>31</v>
      </c>
      <c r="D11" s="9">
        <f t="shared" si="4"/>
        <v>274</v>
      </c>
      <c r="E11" s="9">
        <f t="shared" si="5"/>
        <v>304</v>
      </c>
      <c r="F11" s="14">
        <f t="shared" si="0"/>
        <v>2</v>
      </c>
      <c r="M11" s="11">
        <v>31</v>
      </c>
    </row>
    <row r="12" spans="1:13" x14ac:dyDescent="0.25">
      <c r="A12" s="8">
        <f t="shared" si="3"/>
        <v>11</v>
      </c>
      <c r="B12" s="8" t="s">
        <v>17</v>
      </c>
      <c r="C12" s="17">
        <v>30</v>
      </c>
      <c r="D12" s="9">
        <f t="shared" si="4"/>
        <v>305</v>
      </c>
      <c r="E12" s="9">
        <f t="shared" si="5"/>
        <v>334</v>
      </c>
      <c r="F12" s="14">
        <f t="shared" si="0"/>
        <v>5</v>
      </c>
      <c r="M12" s="11">
        <v>30</v>
      </c>
    </row>
    <row r="13" spans="1:13" x14ac:dyDescent="0.25">
      <c r="A13" s="8">
        <f>A12+1</f>
        <v>12</v>
      </c>
      <c r="B13" s="8" t="s">
        <v>18</v>
      </c>
      <c r="C13" s="17">
        <v>31</v>
      </c>
      <c r="D13" s="9">
        <f t="shared" si="4"/>
        <v>335</v>
      </c>
      <c r="E13" s="12">
        <f t="shared" si="5"/>
        <v>365</v>
      </c>
      <c r="F13" s="14">
        <f t="shared" si="0"/>
        <v>7</v>
      </c>
      <c r="M13" s="11">
        <v>31</v>
      </c>
    </row>
    <row r="14" spans="1:13" x14ac:dyDescent="0.25">
      <c r="A14" s="4"/>
      <c r="B14" s="4"/>
      <c r="C14" s="5"/>
      <c r="D14" s="6"/>
      <c r="E14" s="6"/>
      <c r="F14" s="5"/>
    </row>
    <row r="15" spans="1:13" x14ac:dyDescent="0.25">
      <c r="F15" s="7"/>
      <c r="G15" s="7"/>
      <c r="H15" s="7"/>
      <c r="I15" s="7"/>
      <c r="J15" s="7"/>
      <c r="K15" s="7"/>
    </row>
    <row r="17" spans="1:8" x14ac:dyDescent="0.25">
      <c r="A17" s="13" t="s">
        <v>21</v>
      </c>
      <c r="B17" s="13"/>
      <c r="C17" s="13"/>
      <c r="D17" s="13"/>
      <c r="E17" s="13"/>
      <c r="F17" s="13"/>
      <c r="G17" s="13"/>
      <c r="H17" s="13"/>
    </row>
  </sheetData>
  <mergeCells count="1">
    <mergeCell ref="A17:H17"/>
  </mergeCells>
  <conditionalFormatting sqref="E13">
    <cfRule type="expression" dxfId="3" priority="5">
      <formula>E13&gt;366</formula>
    </cfRule>
    <cfRule type="expression" dxfId="2" priority="6">
      <formula>E13&lt;365</formula>
    </cfRule>
  </conditionalFormatting>
  <conditionalFormatting sqref="C2:C13">
    <cfRule type="expression" dxfId="1" priority="2">
      <formula>C2&lt;28</formula>
    </cfRule>
    <cfRule type="expression" dxfId="0" priority="1">
      <formula>C2&gt;31</formula>
    </cfRule>
  </conditionalFormatting>
  <hyperlinks>
    <hyperlink ref="A17:E17" r:id="rId1" display="https://thefiddler.substack.com/p/can-every-day-be-first " xr:uid="{765F9C66-922A-4C32-92EF-D6636406205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DF9C3-00F3-4C31-8844-9F0C527A0069}">
  <dimension ref="A1:C15"/>
  <sheetViews>
    <sheetView workbookViewId="0">
      <selection activeCell="C2" sqref="C2"/>
    </sheetView>
  </sheetViews>
  <sheetFormatPr defaultRowHeight="15" x14ac:dyDescent="0.25"/>
  <cols>
    <col min="2" max="3" width="3.875" bestFit="1" customWidth="1"/>
  </cols>
  <sheetData>
    <row r="1" spans="1:3" x14ac:dyDescent="0.25">
      <c r="B1" s="10" t="s">
        <v>24</v>
      </c>
      <c r="C1" s="10" t="s">
        <v>23</v>
      </c>
    </row>
    <row r="2" spans="1:3" x14ac:dyDescent="0.25">
      <c r="A2" s="10" t="s">
        <v>7</v>
      </c>
      <c r="B2" s="10">
        <v>31</v>
      </c>
      <c r="C2" s="10">
        <v>30</v>
      </c>
    </row>
    <row r="3" spans="1:3" x14ac:dyDescent="0.25">
      <c r="A3" s="10" t="s">
        <v>8</v>
      </c>
      <c r="B3" s="10">
        <v>30</v>
      </c>
      <c r="C3" s="10">
        <v>31</v>
      </c>
    </row>
    <row r="4" spans="1:3" x14ac:dyDescent="0.25">
      <c r="A4" s="10" t="s">
        <v>9</v>
      </c>
      <c r="B4" s="10">
        <v>30</v>
      </c>
      <c r="C4" s="10">
        <v>30</v>
      </c>
    </row>
    <row r="5" spans="1:3" x14ac:dyDescent="0.25">
      <c r="A5" s="10" t="s">
        <v>10</v>
      </c>
      <c r="B5" s="10">
        <v>31.000000000000004</v>
      </c>
      <c r="C5" s="10">
        <v>30</v>
      </c>
    </row>
    <row r="6" spans="1:3" x14ac:dyDescent="0.25">
      <c r="A6" s="10" t="s">
        <v>11</v>
      </c>
      <c r="B6" s="10">
        <v>30</v>
      </c>
      <c r="C6" s="10">
        <v>31</v>
      </c>
    </row>
    <row r="7" spans="1:3" x14ac:dyDescent="0.25">
      <c r="A7" s="10" t="s">
        <v>12</v>
      </c>
      <c r="B7" s="10">
        <v>30</v>
      </c>
      <c r="C7" s="10">
        <v>30</v>
      </c>
    </row>
    <row r="8" spans="1:3" x14ac:dyDescent="0.25">
      <c r="A8" s="10" t="s">
        <v>13</v>
      </c>
      <c r="B8" s="10">
        <v>31</v>
      </c>
      <c r="C8" s="10">
        <v>29.999999999999996</v>
      </c>
    </row>
    <row r="9" spans="1:3" x14ac:dyDescent="0.25">
      <c r="A9" s="10" t="s">
        <v>14</v>
      </c>
      <c r="B9" s="10">
        <v>30</v>
      </c>
      <c r="C9" s="10">
        <v>31</v>
      </c>
    </row>
    <row r="10" spans="1:3" x14ac:dyDescent="0.25">
      <c r="A10" s="10" t="s">
        <v>15</v>
      </c>
      <c r="B10" s="10">
        <v>30</v>
      </c>
      <c r="C10" s="10">
        <v>30</v>
      </c>
    </row>
    <row r="11" spans="1:3" x14ac:dyDescent="0.25">
      <c r="A11" s="10" t="s">
        <v>16</v>
      </c>
      <c r="B11" s="10">
        <v>31</v>
      </c>
      <c r="C11" s="10">
        <v>30</v>
      </c>
    </row>
    <row r="12" spans="1:3" x14ac:dyDescent="0.25">
      <c r="A12" s="10" t="s">
        <v>17</v>
      </c>
      <c r="B12" s="10">
        <v>30</v>
      </c>
      <c r="C12" s="10">
        <v>31</v>
      </c>
    </row>
    <row r="13" spans="1:3" x14ac:dyDescent="0.25">
      <c r="A13" s="10" t="s">
        <v>18</v>
      </c>
      <c r="B13" s="10">
        <v>31</v>
      </c>
      <c r="C13" s="10">
        <v>31</v>
      </c>
    </row>
    <row r="15" spans="1:3" x14ac:dyDescent="0.25">
      <c r="B15">
        <f>SUM(B2:B14)</f>
        <v>365</v>
      </c>
      <c r="C15">
        <f t="shared" ref="C15" si="0">SUM(C2:C14)</f>
        <v>365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 Model</vt:lpstr>
      <vt:lpstr>Soln Sets</vt:lpstr>
    </vt:vector>
  </TitlesOfParts>
  <Company>TRSS,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Niederman</dc:creator>
  <cp:lastModifiedBy>Rob Niederman</cp:lastModifiedBy>
  <dcterms:created xsi:type="dcterms:W3CDTF">2026-02-27T17:51:39Z</dcterms:created>
  <dcterms:modified xsi:type="dcterms:W3CDTF">2026-02-28T13:54:19Z</dcterms:modified>
</cp:coreProperties>
</file>