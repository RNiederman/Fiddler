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Python_Projects\MC\Fiddlers\"/>
    </mc:Choice>
  </mc:AlternateContent>
  <xr:revisionPtr revIDLastSave="0" documentId="8_{613843DB-146C-4B42-8CB4-3DC4C9189E3E}" xr6:coauthVersionLast="47" xr6:coauthVersionMax="47" xr10:uidLastSave="{00000000-0000-0000-0000-000000000000}"/>
  <bookViews>
    <workbookView xWindow="-19310" yWindow="7240" windowWidth="19420" windowHeight="10300" xr2:uid="{9CC729E5-CAE4-44F0-911E-C7CDAA9D3AC3}"/>
  </bookViews>
  <sheets>
    <sheet name="Sheet1" sheetId="1" r:id="rId1"/>
  </sheets>
  <definedNames>
    <definedName name="_xlnm._FilterDatabase" localSheetId="0" hidden="1">Sheet1!$B$1:$H$1</definedName>
    <definedName name="_xlnm.Print_Titles" localSheetId="0">Sheet1!$1:$1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K1" i="1"/>
  <c r="I3" i="1"/>
  <c r="A102" i="1"/>
  <c r="B102" i="1"/>
  <c r="E102" i="1" s="1"/>
  <c r="C102" i="1"/>
  <c r="D102" i="1" s="1"/>
  <c r="F102" i="1" s="1"/>
  <c r="G102" i="1"/>
  <c r="H102" i="1" s="1"/>
  <c r="I102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3" i="1"/>
  <c r="C3" i="1"/>
  <c r="C4" i="1" s="1"/>
  <c r="E2" i="1"/>
  <c r="B3" i="1" s="1"/>
  <c r="E3" i="1" s="1"/>
  <c r="G3" i="1" l="1"/>
  <c r="H3" i="1" s="1"/>
  <c r="I4" i="1"/>
  <c r="C5" i="1"/>
  <c r="D3" i="1"/>
  <c r="F3" i="1" s="1"/>
  <c r="B4" i="1"/>
  <c r="G4" i="1" l="1"/>
  <c r="H4" i="1" s="1"/>
  <c r="E4" i="1"/>
  <c r="B5" i="1" s="1"/>
  <c r="G5" i="1" s="1"/>
  <c r="H5" i="1" s="1"/>
  <c r="D4" i="1"/>
  <c r="C6" i="1"/>
  <c r="I5" i="1"/>
  <c r="E5" i="1"/>
  <c r="D5" i="1" l="1"/>
  <c r="F5" i="1" s="1"/>
  <c r="C7" i="1"/>
  <c r="I6" i="1"/>
  <c r="B6" i="1"/>
  <c r="E6" i="1"/>
  <c r="F4" i="1"/>
  <c r="D6" i="1" l="1"/>
  <c r="G6" i="1"/>
  <c r="H6" i="1" s="1"/>
  <c r="C8" i="1"/>
  <c r="I7" i="1"/>
  <c r="B7" i="1"/>
  <c r="G7" i="1" s="1"/>
  <c r="H7" i="1" s="1"/>
  <c r="F6" i="1"/>
  <c r="E7" i="1" l="1"/>
  <c r="B8" i="1" s="1"/>
  <c r="D7" i="1"/>
  <c r="C9" i="1"/>
  <c r="I8" i="1"/>
  <c r="D8" i="1" l="1"/>
  <c r="G8" i="1"/>
  <c r="H8" i="1" s="1"/>
  <c r="C10" i="1"/>
  <c r="I9" i="1"/>
  <c r="F7" i="1"/>
  <c r="E8" i="1"/>
  <c r="F8" i="1"/>
  <c r="C11" i="1" l="1"/>
  <c r="I10" i="1"/>
  <c r="B9" i="1"/>
  <c r="D9" i="1" l="1"/>
  <c r="G9" i="1"/>
  <c r="H9" i="1" s="1"/>
  <c r="C12" i="1"/>
  <c r="I11" i="1"/>
  <c r="E9" i="1"/>
  <c r="C13" i="1" l="1"/>
  <c r="I12" i="1"/>
  <c r="F9" i="1"/>
  <c r="B10" i="1"/>
  <c r="D10" i="1" l="1"/>
  <c r="G10" i="1"/>
  <c r="H10" i="1" s="1"/>
  <c r="C14" i="1"/>
  <c r="I13" i="1"/>
  <c r="E10" i="1"/>
  <c r="C15" i="1" l="1"/>
  <c r="I14" i="1"/>
  <c r="F10" i="1"/>
  <c r="B11" i="1"/>
  <c r="D11" i="1" l="1"/>
  <c r="G11" i="1"/>
  <c r="H11" i="1" s="1"/>
  <c r="C16" i="1"/>
  <c r="I15" i="1"/>
  <c r="E11" i="1"/>
  <c r="C17" i="1" l="1"/>
  <c r="I16" i="1"/>
  <c r="F11" i="1"/>
  <c r="B12" i="1"/>
  <c r="D12" i="1" l="1"/>
  <c r="G12" i="1"/>
  <c r="H12" i="1" s="1"/>
  <c r="C18" i="1"/>
  <c r="I17" i="1"/>
  <c r="E12" i="1"/>
  <c r="C19" i="1" l="1"/>
  <c r="I18" i="1"/>
  <c r="F12" i="1"/>
  <c r="B13" i="1"/>
  <c r="D13" i="1" l="1"/>
  <c r="G13" i="1"/>
  <c r="H13" i="1" s="1"/>
  <c r="C20" i="1"/>
  <c r="I19" i="1"/>
  <c r="E13" i="1"/>
  <c r="C21" i="1" l="1"/>
  <c r="I20" i="1"/>
  <c r="F13" i="1"/>
  <c r="B14" i="1"/>
  <c r="D14" i="1" l="1"/>
  <c r="G14" i="1"/>
  <c r="H14" i="1" s="1"/>
  <c r="C22" i="1"/>
  <c r="I21" i="1"/>
  <c r="E14" i="1"/>
  <c r="C23" i="1" l="1"/>
  <c r="I22" i="1"/>
  <c r="F14" i="1"/>
  <c r="B15" i="1"/>
  <c r="D15" i="1" l="1"/>
  <c r="G15" i="1"/>
  <c r="H15" i="1" s="1"/>
  <c r="C24" i="1"/>
  <c r="I23" i="1"/>
  <c r="F15" i="1"/>
  <c r="E15" i="1"/>
  <c r="C25" i="1" l="1"/>
  <c r="I24" i="1"/>
  <c r="B16" i="1"/>
  <c r="D16" i="1" l="1"/>
  <c r="G16" i="1"/>
  <c r="H16" i="1" s="1"/>
  <c r="C26" i="1"/>
  <c r="I25" i="1"/>
  <c r="F16" i="1"/>
  <c r="E16" i="1"/>
  <c r="C27" i="1" l="1"/>
  <c r="I26" i="1"/>
  <c r="B17" i="1"/>
  <c r="D17" i="1" l="1"/>
  <c r="F17" i="1" s="1"/>
  <c r="G17" i="1"/>
  <c r="H17" i="1" s="1"/>
  <c r="C28" i="1"/>
  <c r="I27" i="1"/>
  <c r="E17" i="1"/>
  <c r="C29" i="1" l="1"/>
  <c r="I28" i="1"/>
  <c r="B18" i="1"/>
  <c r="D18" i="1" l="1"/>
  <c r="F18" i="1" s="1"/>
  <c r="G18" i="1"/>
  <c r="H18" i="1" s="1"/>
  <c r="C30" i="1"/>
  <c r="I29" i="1"/>
  <c r="E18" i="1"/>
  <c r="C31" i="1" l="1"/>
  <c r="I30" i="1"/>
  <c r="B19" i="1"/>
  <c r="D19" i="1" l="1"/>
  <c r="G19" i="1"/>
  <c r="H19" i="1" s="1"/>
  <c r="C32" i="1"/>
  <c r="I31" i="1"/>
  <c r="F19" i="1"/>
  <c r="E19" i="1"/>
  <c r="C33" i="1" l="1"/>
  <c r="I32" i="1"/>
  <c r="B20" i="1"/>
  <c r="D20" i="1" l="1"/>
  <c r="G20" i="1"/>
  <c r="H20" i="1" s="1"/>
  <c r="C34" i="1"/>
  <c r="I33" i="1"/>
  <c r="F20" i="1"/>
  <c r="E20" i="1"/>
  <c r="C35" i="1" l="1"/>
  <c r="I34" i="1"/>
  <c r="B21" i="1"/>
  <c r="D21" i="1" l="1"/>
  <c r="G21" i="1"/>
  <c r="H21" i="1" s="1"/>
  <c r="C36" i="1"/>
  <c r="I35" i="1"/>
  <c r="F21" i="1"/>
  <c r="E21" i="1"/>
  <c r="C37" i="1" l="1"/>
  <c r="I36" i="1"/>
  <c r="B22" i="1"/>
  <c r="D22" i="1" l="1"/>
  <c r="F22" i="1" s="1"/>
  <c r="G22" i="1"/>
  <c r="H22" i="1" s="1"/>
  <c r="C38" i="1"/>
  <c r="I37" i="1"/>
  <c r="E22" i="1"/>
  <c r="C39" i="1" l="1"/>
  <c r="I38" i="1"/>
  <c r="B23" i="1"/>
  <c r="D23" i="1" l="1"/>
  <c r="F23" i="1" s="1"/>
  <c r="G23" i="1"/>
  <c r="H23" i="1" s="1"/>
  <c r="C40" i="1"/>
  <c r="I39" i="1"/>
  <c r="E23" i="1"/>
  <c r="C41" i="1" l="1"/>
  <c r="I40" i="1"/>
  <c r="B24" i="1"/>
  <c r="D24" i="1" l="1"/>
  <c r="G24" i="1"/>
  <c r="H24" i="1" s="1"/>
  <c r="C42" i="1"/>
  <c r="I41" i="1"/>
  <c r="F24" i="1"/>
  <c r="E24" i="1"/>
  <c r="C43" i="1" l="1"/>
  <c r="I42" i="1"/>
  <c r="B25" i="1"/>
  <c r="D25" i="1" l="1"/>
  <c r="F25" i="1" s="1"/>
  <c r="G25" i="1"/>
  <c r="H25" i="1" s="1"/>
  <c r="C44" i="1"/>
  <c r="I43" i="1"/>
  <c r="E25" i="1"/>
  <c r="C45" i="1" l="1"/>
  <c r="I44" i="1"/>
  <c r="B26" i="1"/>
  <c r="D26" i="1" l="1"/>
  <c r="G26" i="1"/>
  <c r="H26" i="1" s="1"/>
  <c r="C46" i="1"/>
  <c r="I45" i="1"/>
  <c r="F26" i="1"/>
  <c r="E26" i="1"/>
  <c r="C47" i="1" l="1"/>
  <c r="I46" i="1"/>
  <c r="B27" i="1"/>
  <c r="D27" i="1" l="1"/>
  <c r="F27" i="1" s="1"/>
  <c r="G27" i="1"/>
  <c r="H27" i="1" s="1"/>
  <c r="C48" i="1"/>
  <c r="I47" i="1"/>
  <c r="E27" i="1"/>
  <c r="C49" i="1" l="1"/>
  <c r="I48" i="1"/>
  <c r="B28" i="1"/>
  <c r="D28" i="1" l="1"/>
  <c r="G28" i="1"/>
  <c r="H28" i="1" s="1"/>
  <c r="C50" i="1"/>
  <c r="I49" i="1"/>
  <c r="E28" i="1"/>
  <c r="F28" i="1"/>
  <c r="C51" i="1" l="1"/>
  <c r="I50" i="1"/>
  <c r="B29" i="1"/>
  <c r="D29" i="1" l="1"/>
  <c r="F29" i="1" s="1"/>
  <c r="G29" i="1"/>
  <c r="H29" i="1" s="1"/>
  <c r="C52" i="1"/>
  <c r="I51" i="1"/>
  <c r="E29" i="1"/>
  <c r="C53" i="1" l="1"/>
  <c r="I52" i="1"/>
  <c r="B30" i="1"/>
  <c r="D30" i="1" l="1"/>
  <c r="F30" i="1" s="1"/>
  <c r="G30" i="1"/>
  <c r="H30" i="1" s="1"/>
  <c r="C54" i="1"/>
  <c r="I53" i="1"/>
  <c r="E30" i="1"/>
  <c r="C55" i="1" l="1"/>
  <c r="I54" i="1"/>
  <c r="B31" i="1"/>
  <c r="D31" i="1" l="1"/>
  <c r="G31" i="1"/>
  <c r="H31" i="1" s="1"/>
  <c r="C56" i="1"/>
  <c r="I55" i="1"/>
  <c r="F31" i="1"/>
  <c r="E31" i="1"/>
  <c r="C57" i="1" l="1"/>
  <c r="I56" i="1"/>
  <c r="B32" i="1"/>
  <c r="D32" i="1" l="1"/>
  <c r="G32" i="1"/>
  <c r="H32" i="1" s="1"/>
  <c r="C58" i="1"/>
  <c r="I57" i="1"/>
  <c r="F32" i="1"/>
  <c r="E32" i="1"/>
  <c r="C59" i="1" l="1"/>
  <c r="I58" i="1"/>
  <c r="B33" i="1"/>
  <c r="D33" i="1" l="1"/>
  <c r="G33" i="1"/>
  <c r="H33" i="1" s="1"/>
  <c r="C60" i="1"/>
  <c r="I59" i="1"/>
  <c r="F33" i="1"/>
  <c r="E33" i="1"/>
  <c r="C61" i="1" l="1"/>
  <c r="I60" i="1"/>
  <c r="B34" i="1"/>
  <c r="D34" i="1" l="1"/>
  <c r="G34" i="1"/>
  <c r="H34" i="1" s="1"/>
  <c r="C62" i="1"/>
  <c r="I61" i="1"/>
  <c r="F34" i="1"/>
  <c r="E34" i="1"/>
  <c r="C63" i="1" l="1"/>
  <c r="I62" i="1"/>
  <c r="B35" i="1"/>
  <c r="D35" i="1" l="1"/>
  <c r="F35" i="1" s="1"/>
  <c r="G35" i="1"/>
  <c r="H35" i="1" s="1"/>
  <c r="C64" i="1"/>
  <c r="I63" i="1"/>
  <c r="E35" i="1"/>
  <c r="C65" i="1" l="1"/>
  <c r="I64" i="1"/>
  <c r="B36" i="1"/>
  <c r="D36" i="1" l="1"/>
  <c r="G36" i="1"/>
  <c r="H36" i="1" s="1"/>
  <c r="C66" i="1"/>
  <c r="I65" i="1"/>
  <c r="E36" i="1"/>
  <c r="F36" i="1"/>
  <c r="C67" i="1" l="1"/>
  <c r="I66" i="1"/>
  <c r="B37" i="1"/>
  <c r="D37" i="1" l="1"/>
  <c r="G37" i="1"/>
  <c r="H37" i="1" s="1"/>
  <c r="C68" i="1"/>
  <c r="I67" i="1"/>
  <c r="F37" i="1"/>
  <c r="E37" i="1"/>
  <c r="C69" i="1" l="1"/>
  <c r="I68" i="1"/>
  <c r="B38" i="1"/>
  <c r="D38" i="1" l="1"/>
  <c r="G38" i="1"/>
  <c r="H38" i="1" s="1"/>
  <c r="C70" i="1"/>
  <c r="I69" i="1"/>
  <c r="F38" i="1"/>
  <c r="E38" i="1"/>
  <c r="C71" i="1" l="1"/>
  <c r="I70" i="1"/>
  <c r="B39" i="1"/>
  <c r="D39" i="1" l="1"/>
  <c r="F39" i="1" s="1"/>
  <c r="G39" i="1"/>
  <c r="H39" i="1" s="1"/>
  <c r="C72" i="1"/>
  <c r="I71" i="1"/>
  <c r="E39" i="1"/>
  <c r="C73" i="1" l="1"/>
  <c r="I72" i="1"/>
  <c r="B40" i="1"/>
  <c r="D40" i="1" l="1"/>
  <c r="G40" i="1"/>
  <c r="H40" i="1" s="1"/>
  <c r="C74" i="1"/>
  <c r="I73" i="1"/>
  <c r="F40" i="1"/>
  <c r="E40" i="1"/>
  <c r="C75" i="1" l="1"/>
  <c r="I74" i="1"/>
  <c r="B41" i="1"/>
  <c r="D41" i="1" l="1"/>
  <c r="G41" i="1"/>
  <c r="H41" i="1" s="1"/>
  <c r="C76" i="1"/>
  <c r="I75" i="1"/>
  <c r="F41" i="1"/>
  <c r="E41" i="1"/>
  <c r="C77" i="1" l="1"/>
  <c r="I76" i="1"/>
  <c r="B42" i="1"/>
  <c r="D42" i="1" l="1"/>
  <c r="G42" i="1"/>
  <c r="H42" i="1" s="1"/>
  <c r="C78" i="1"/>
  <c r="I77" i="1"/>
  <c r="F42" i="1"/>
  <c r="E42" i="1"/>
  <c r="C79" i="1" l="1"/>
  <c r="I78" i="1"/>
  <c r="B43" i="1"/>
  <c r="D43" i="1" l="1"/>
  <c r="F43" i="1" s="1"/>
  <c r="G43" i="1"/>
  <c r="H43" i="1" s="1"/>
  <c r="C80" i="1"/>
  <c r="I79" i="1"/>
  <c r="E43" i="1"/>
  <c r="C81" i="1" l="1"/>
  <c r="I80" i="1"/>
  <c r="B44" i="1"/>
  <c r="D44" i="1" l="1"/>
  <c r="G44" i="1"/>
  <c r="H44" i="1" s="1"/>
  <c r="C82" i="1"/>
  <c r="I81" i="1"/>
  <c r="F44" i="1"/>
  <c r="E44" i="1"/>
  <c r="C83" i="1" l="1"/>
  <c r="I82" i="1"/>
  <c r="B45" i="1"/>
  <c r="D45" i="1" l="1"/>
  <c r="G45" i="1"/>
  <c r="H45" i="1" s="1"/>
  <c r="C84" i="1"/>
  <c r="I83" i="1"/>
  <c r="E45" i="1"/>
  <c r="F45" i="1"/>
  <c r="C85" i="1" l="1"/>
  <c r="I84" i="1"/>
  <c r="B46" i="1"/>
  <c r="D46" i="1" l="1"/>
  <c r="G46" i="1"/>
  <c r="H46" i="1" s="1"/>
  <c r="C86" i="1"/>
  <c r="I85" i="1"/>
  <c r="F46" i="1"/>
  <c r="E46" i="1"/>
  <c r="C87" i="1" l="1"/>
  <c r="I86" i="1"/>
  <c r="B47" i="1"/>
  <c r="D47" i="1" l="1"/>
  <c r="G47" i="1"/>
  <c r="H47" i="1" s="1"/>
  <c r="C88" i="1"/>
  <c r="I87" i="1"/>
  <c r="F47" i="1"/>
  <c r="E47" i="1"/>
  <c r="C89" i="1" l="1"/>
  <c r="I88" i="1"/>
  <c r="B48" i="1"/>
  <c r="D48" i="1" l="1"/>
  <c r="G48" i="1"/>
  <c r="H48" i="1" s="1"/>
  <c r="C90" i="1"/>
  <c r="I89" i="1"/>
  <c r="F48" i="1"/>
  <c r="E48" i="1"/>
  <c r="C91" i="1" l="1"/>
  <c r="I90" i="1"/>
  <c r="B49" i="1"/>
  <c r="D49" i="1" l="1"/>
  <c r="G49" i="1"/>
  <c r="H49" i="1" s="1"/>
  <c r="C92" i="1"/>
  <c r="I91" i="1"/>
  <c r="F49" i="1"/>
  <c r="E49" i="1"/>
  <c r="C93" i="1" l="1"/>
  <c r="I92" i="1"/>
  <c r="B50" i="1"/>
  <c r="D50" i="1" l="1"/>
  <c r="G50" i="1"/>
  <c r="H50" i="1" s="1"/>
  <c r="C94" i="1"/>
  <c r="I93" i="1"/>
  <c r="F50" i="1"/>
  <c r="E50" i="1"/>
  <c r="C95" i="1" l="1"/>
  <c r="I94" i="1"/>
  <c r="B51" i="1"/>
  <c r="D51" i="1" l="1"/>
  <c r="G51" i="1"/>
  <c r="H51" i="1" s="1"/>
  <c r="C96" i="1"/>
  <c r="I95" i="1"/>
  <c r="F51" i="1"/>
  <c r="E51" i="1"/>
  <c r="C97" i="1" l="1"/>
  <c r="I96" i="1"/>
  <c r="B52" i="1"/>
  <c r="D52" i="1" l="1"/>
  <c r="G52" i="1"/>
  <c r="H52" i="1" s="1"/>
  <c r="C98" i="1"/>
  <c r="I97" i="1"/>
  <c r="E52" i="1"/>
  <c r="F52" i="1"/>
  <c r="C99" i="1" l="1"/>
  <c r="I98" i="1"/>
  <c r="B53" i="1"/>
  <c r="D53" i="1" l="1"/>
  <c r="G53" i="1"/>
  <c r="H53" i="1" s="1"/>
  <c r="C100" i="1"/>
  <c r="I99" i="1"/>
  <c r="F53" i="1"/>
  <c r="E53" i="1"/>
  <c r="C101" i="1" l="1"/>
  <c r="I100" i="1"/>
  <c r="B54" i="1"/>
  <c r="D54" i="1" l="1"/>
  <c r="F54" i="1" s="1"/>
  <c r="G54" i="1"/>
  <c r="H54" i="1" s="1"/>
  <c r="I101" i="1"/>
  <c r="E54" i="1"/>
  <c r="B55" i="1" l="1"/>
  <c r="D55" i="1" l="1"/>
  <c r="G55" i="1"/>
  <c r="H55" i="1" s="1"/>
  <c r="F55" i="1"/>
  <c r="E55" i="1"/>
  <c r="B56" i="1" l="1"/>
  <c r="D56" i="1" l="1"/>
  <c r="G56" i="1"/>
  <c r="H56" i="1" s="1"/>
  <c r="F56" i="1"/>
  <c r="E56" i="1"/>
  <c r="B57" i="1" l="1"/>
  <c r="D57" i="1" l="1"/>
  <c r="G57" i="1"/>
  <c r="H57" i="1" s="1"/>
  <c r="F57" i="1"/>
  <c r="E57" i="1"/>
  <c r="B58" i="1" l="1"/>
  <c r="D58" i="1" l="1"/>
  <c r="G58" i="1"/>
  <c r="H58" i="1" s="1"/>
  <c r="F58" i="1"/>
  <c r="E58" i="1"/>
  <c r="B59" i="1" l="1"/>
  <c r="D59" i="1" l="1"/>
  <c r="G59" i="1"/>
  <c r="H59" i="1" s="1"/>
  <c r="F59" i="1"/>
  <c r="E59" i="1"/>
  <c r="B60" i="1" l="1"/>
  <c r="D60" i="1" l="1"/>
  <c r="G60" i="1"/>
  <c r="H60" i="1" s="1"/>
  <c r="F60" i="1"/>
  <c r="E60" i="1"/>
  <c r="B61" i="1" l="1"/>
  <c r="D61" i="1" l="1"/>
  <c r="G61" i="1"/>
  <c r="H61" i="1" s="1"/>
  <c r="F61" i="1"/>
  <c r="E61" i="1"/>
  <c r="B62" i="1" l="1"/>
  <c r="D62" i="1" l="1"/>
  <c r="G62" i="1"/>
  <c r="H62" i="1" s="1"/>
  <c r="F62" i="1"/>
  <c r="E62" i="1"/>
  <c r="B63" i="1" l="1"/>
  <c r="D63" i="1" l="1"/>
  <c r="G63" i="1"/>
  <c r="H63" i="1" s="1"/>
  <c r="F63" i="1"/>
  <c r="E63" i="1"/>
  <c r="B64" i="1" l="1"/>
  <c r="D64" i="1" l="1"/>
  <c r="G64" i="1"/>
  <c r="H64" i="1" s="1"/>
  <c r="F64" i="1"/>
  <c r="E64" i="1"/>
  <c r="B65" i="1" l="1"/>
  <c r="D65" i="1" l="1"/>
  <c r="G65" i="1"/>
  <c r="H65" i="1" s="1"/>
  <c r="F65" i="1"/>
  <c r="E65" i="1"/>
  <c r="B66" i="1" l="1"/>
  <c r="D66" i="1" l="1"/>
  <c r="G66" i="1"/>
  <c r="H66" i="1" s="1"/>
  <c r="E66" i="1"/>
  <c r="F66" i="1"/>
  <c r="B67" i="1" l="1"/>
  <c r="D67" i="1" l="1"/>
  <c r="G67" i="1"/>
  <c r="H67" i="1" s="1"/>
  <c r="E67" i="1"/>
  <c r="F67" i="1"/>
  <c r="B68" i="1" l="1"/>
  <c r="D68" i="1" l="1"/>
  <c r="G68" i="1"/>
  <c r="H68" i="1" s="1"/>
  <c r="F68" i="1"/>
  <c r="E68" i="1"/>
  <c r="B69" i="1" l="1"/>
  <c r="D69" i="1" l="1"/>
  <c r="G69" i="1"/>
  <c r="H69" i="1" s="1"/>
  <c r="F69" i="1"/>
  <c r="E69" i="1"/>
  <c r="B70" i="1" l="1"/>
  <c r="D70" i="1" l="1"/>
  <c r="G70" i="1"/>
  <c r="H70" i="1" s="1"/>
  <c r="E70" i="1"/>
  <c r="F70" i="1"/>
  <c r="B71" i="1" l="1"/>
  <c r="D71" i="1" l="1"/>
  <c r="G71" i="1"/>
  <c r="H71" i="1" s="1"/>
  <c r="F71" i="1"/>
  <c r="E71" i="1"/>
  <c r="B72" i="1" l="1"/>
  <c r="D72" i="1" l="1"/>
  <c r="G72" i="1"/>
  <c r="H72" i="1" s="1"/>
  <c r="E72" i="1"/>
  <c r="F72" i="1"/>
  <c r="B73" i="1" l="1"/>
  <c r="D73" i="1" l="1"/>
  <c r="G73" i="1"/>
  <c r="H73" i="1" s="1"/>
  <c r="F73" i="1"/>
  <c r="E73" i="1"/>
  <c r="B74" i="1" l="1"/>
  <c r="D74" i="1" l="1"/>
  <c r="G74" i="1"/>
  <c r="H74" i="1" s="1"/>
  <c r="F74" i="1"/>
  <c r="E74" i="1"/>
  <c r="B75" i="1" l="1"/>
  <c r="D75" i="1" l="1"/>
  <c r="G75" i="1"/>
  <c r="H75" i="1" s="1"/>
  <c r="F75" i="1"/>
  <c r="E75" i="1"/>
  <c r="B76" i="1" l="1"/>
  <c r="D76" i="1" l="1"/>
  <c r="G76" i="1"/>
  <c r="H76" i="1" s="1"/>
  <c r="F76" i="1"/>
  <c r="E76" i="1"/>
  <c r="B77" i="1" l="1"/>
  <c r="D77" i="1" l="1"/>
  <c r="G77" i="1"/>
  <c r="H77" i="1" s="1"/>
  <c r="F77" i="1"/>
  <c r="E77" i="1"/>
  <c r="B78" i="1" l="1"/>
  <c r="D78" i="1" l="1"/>
  <c r="G78" i="1"/>
  <c r="H78" i="1" s="1"/>
  <c r="E78" i="1"/>
  <c r="F78" i="1"/>
  <c r="B79" i="1" l="1"/>
  <c r="D79" i="1" l="1"/>
  <c r="G79" i="1"/>
  <c r="H79" i="1" s="1"/>
  <c r="F79" i="1"/>
  <c r="E79" i="1"/>
  <c r="B80" i="1" l="1"/>
  <c r="D80" i="1" l="1"/>
  <c r="G80" i="1"/>
  <c r="H80" i="1" s="1"/>
  <c r="E80" i="1"/>
  <c r="F80" i="1"/>
  <c r="B81" i="1" l="1"/>
  <c r="D81" i="1" l="1"/>
  <c r="G81" i="1"/>
  <c r="H81" i="1" s="1"/>
  <c r="F81" i="1"/>
  <c r="E81" i="1"/>
  <c r="B82" i="1" l="1"/>
  <c r="D82" i="1" l="1"/>
  <c r="G82" i="1"/>
  <c r="H82" i="1" s="1"/>
  <c r="F82" i="1"/>
  <c r="E82" i="1"/>
  <c r="B83" i="1" l="1"/>
  <c r="D83" i="1" l="1"/>
  <c r="G83" i="1"/>
  <c r="H83" i="1" s="1"/>
  <c r="F83" i="1"/>
  <c r="E83" i="1"/>
  <c r="B84" i="1" l="1"/>
  <c r="D84" i="1" l="1"/>
  <c r="G84" i="1"/>
  <c r="H84" i="1" s="1"/>
  <c r="F84" i="1"/>
  <c r="E84" i="1"/>
  <c r="B85" i="1" l="1"/>
  <c r="D85" i="1" l="1"/>
  <c r="G85" i="1"/>
  <c r="H85" i="1" s="1"/>
  <c r="E85" i="1"/>
  <c r="F85" i="1"/>
  <c r="B86" i="1" l="1"/>
  <c r="D86" i="1" l="1"/>
  <c r="G86" i="1"/>
  <c r="H86" i="1" s="1"/>
  <c r="F86" i="1"/>
  <c r="E86" i="1"/>
  <c r="B87" i="1" l="1"/>
  <c r="D87" i="1" l="1"/>
  <c r="G87" i="1"/>
  <c r="H87" i="1" s="1"/>
  <c r="E87" i="1"/>
  <c r="F87" i="1"/>
  <c r="B88" i="1" l="1"/>
  <c r="D88" i="1" l="1"/>
  <c r="G88" i="1"/>
  <c r="H88" i="1" s="1"/>
  <c r="F88" i="1"/>
  <c r="E88" i="1"/>
  <c r="B89" i="1" l="1"/>
  <c r="D89" i="1" l="1"/>
  <c r="G89" i="1"/>
  <c r="H89" i="1" s="1"/>
  <c r="F89" i="1"/>
  <c r="E89" i="1"/>
  <c r="B90" i="1" l="1"/>
  <c r="D90" i="1" l="1"/>
  <c r="G90" i="1"/>
  <c r="H90" i="1" s="1"/>
  <c r="E90" i="1"/>
  <c r="F90" i="1"/>
  <c r="B91" i="1" l="1"/>
  <c r="D91" i="1" l="1"/>
  <c r="G91" i="1"/>
  <c r="H91" i="1" s="1"/>
  <c r="F91" i="1"/>
  <c r="E91" i="1"/>
  <c r="B92" i="1" l="1"/>
  <c r="D92" i="1" l="1"/>
  <c r="G92" i="1"/>
  <c r="H92" i="1" s="1"/>
  <c r="E92" i="1"/>
  <c r="F92" i="1"/>
  <c r="B93" i="1" l="1"/>
  <c r="D93" i="1" l="1"/>
  <c r="G93" i="1"/>
  <c r="H93" i="1" s="1"/>
  <c r="F93" i="1"/>
  <c r="E93" i="1"/>
  <c r="B94" i="1" l="1"/>
  <c r="D94" i="1" l="1"/>
  <c r="G94" i="1"/>
  <c r="H94" i="1" s="1"/>
  <c r="F94" i="1"/>
  <c r="E94" i="1"/>
  <c r="B95" i="1" l="1"/>
  <c r="D95" i="1" l="1"/>
  <c r="G95" i="1"/>
  <c r="H95" i="1" s="1"/>
  <c r="F95" i="1"/>
  <c r="E95" i="1"/>
  <c r="B96" i="1" l="1"/>
  <c r="D96" i="1" l="1"/>
  <c r="G96" i="1"/>
  <c r="H96" i="1" s="1"/>
  <c r="F96" i="1"/>
  <c r="E96" i="1"/>
  <c r="B97" i="1" l="1"/>
  <c r="D97" i="1" l="1"/>
  <c r="G97" i="1"/>
  <c r="H97" i="1" s="1"/>
  <c r="E97" i="1"/>
  <c r="F97" i="1"/>
  <c r="B98" i="1" l="1"/>
  <c r="D98" i="1" l="1"/>
  <c r="G98" i="1"/>
  <c r="H98" i="1" s="1"/>
  <c r="F98" i="1"/>
  <c r="E98" i="1"/>
  <c r="B99" i="1" l="1"/>
  <c r="D99" i="1" l="1"/>
  <c r="G99" i="1"/>
  <c r="H99" i="1" s="1"/>
  <c r="F99" i="1"/>
  <c r="E99" i="1"/>
  <c r="B100" i="1" l="1"/>
  <c r="D100" i="1" l="1"/>
  <c r="G100" i="1"/>
  <c r="H100" i="1" s="1"/>
  <c r="F100" i="1"/>
  <c r="E100" i="1"/>
  <c r="B101" i="1" l="1"/>
  <c r="D101" i="1" l="1"/>
  <c r="G101" i="1"/>
  <c r="H101" i="1" s="1"/>
  <c r="E101" i="1"/>
  <c r="F101" i="1"/>
</calcChain>
</file>

<file path=xl/sharedStrings.xml><?xml version="1.0" encoding="utf-8"?>
<sst xmlns="http://schemas.openxmlformats.org/spreadsheetml/2006/main" count="11" uniqueCount="11">
  <si>
    <t>Dist</t>
  </si>
  <si>
    <t>Rate</t>
  </si>
  <si>
    <t>Time</t>
  </si>
  <si>
    <t>Remaining</t>
  </si>
  <si>
    <t>Cum Time</t>
  </si>
  <si>
    <t>https://thefiddler.substack.com/p/can-you-race-against-zeno</t>
  </si>
  <si>
    <t>Complete</t>
  </si>
  <si>
    <t>Cum Dist</t>
  </si>
  <si>
    <t>Leg</t>
  </si>
  <si>
    <t>Rate Increase</t>
  </si>
  <si>
    <t>https://thefiddler.substack.com/p/how-greedily-can-you-mow-the-lawn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</si>
</sst>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=1]0%;[=0]\ ;0.0#%"/>
    <numFmt numFmtId="165" formatCode="0.000000"/>
    <numFmt numFmtId="166" formatCode="0.0000"/>
  </numFmts>
  <fonts count="5" x14ac:knownFonts="1">
    <font>
      <sz val="11"/>
      <color theme="1"/>
      <name val="Consolas"/>
      <family val="2"/>
    </font>
    <font>
      <sz val="11"/>
      <name val="Consolas"/>
      <family val="2"/>
    </font>
    <font>
      <b/>
      <sz val="11"/>
      <name val="Consolas"/>
      <family val="3"/>
    </font>
    <font>
      <u/>
      <sz val="11"/>
      <color theme="10"/>
      <name val="Consolas"/>
      <family val="2"/>
    </font>
    <font>
      <u/>
      <sz val="8"/>
      <color theme="10"/>
      <name val="Consolas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left"/>
    </xf>
    <xf numFmtId="0" fontId="0" fillId="0" borderId="0" xfId="0" applyFill="1" applyBorder="1"/>
    <xf numFmtId="164" fontId="1" fillId="0" borderId="0" xfId="0" applyNumberFormat="1" applyFont="1" applyFill="1" applyBorder="1" applyAlignment="1">
      <alignment horizontal="left"/>
    </xf>
    <xf numFmtId="164" fontId="2" fillId="2" borderId="1" xfId="0" applyNumberFormat="1" applyFont="1" applyFill="1" applyBorder="1" applyAlignment="1">
      <alignment horizontal="left"/>
    </xf>
    <xf numFmtId="164" fontId="1" fillId="0" borderId="1" xfId="0" applyNumberFormat="1" applyFont="1" applyFill="1" applyBorder="1" applyAlignment="1">
      <alignment horizontal="left"/>
    </xf>
    <xf numFmtId="164" fontId="2" fillId="0" borderId="0" xfId="0" applyNumberFormat="1" applyFont="1" applyFill="1" applyBorder="1" applyAlignment="1">
      <alignment horizontal="left"/>
    </xf>
    <xf numFmtId="0" fontId="1" fillId="0" borderId="4" xfId="0" applyFont="1" applyFill="1" applyBorder="1" applyAlignment="1">
      <alignment horizontal="left"/>
    </xf>
    <xf numFmtId="164" fontId="1" fillId="0" borderId="4" xfId="0" applyNumberFormat="1" applyFont="1" applyFill="1" applyBorder="1" applyAlignment="1">
      <alignment horizontal="left"/>
    </xf>
    <xf numFmtId="0" fontId="1" fillId="0" borderId="5" xfId="0" applyFont="1" applyFill="1" applyBorder="1" applyAlignment="1">
      <alignment horizontal="left"/>
    </xf>
    <xf numFmtId="0" fontId="1" fillId="4" borderId="5" xfId="0" quotePrefix="1" applyFont="1" applyFill="1" applyBorder="1" applyAlignment="1">
      <alignment horizontal="left"/>
    </xf>
    <xf numFmtId="165" fontId="1" fillId="0" borderId="1" xfId="0" applyNumberFormat="1" applyFont="1" applyFill="1" applyBorder="1" applyAlignment="1">
      <alignment horizontal="left"/>
    </xf>
    <xf numFmtId="166" fontId="1" fillId="0" borderId="4" xfId="0" applyNumberFormat="1" applyFont="1" applyFill="1" applyBorder="1" applyAlignment="1">
      <alignment horizontal="left"/>
    </xf>
    <xf numFmtId="166" fontId="1" fillId="0" borderId="1" xfId="0" applyNumberFormat="1" applyFont="1" applyFill="1" applyBorder="1" applyAlignment="1">
      <alignment horizontal="left"/>
    </xf>
    <xf numFmtId="2" fontId="2" fillId="3" borderId="2" xfId="0" applyNumberFormat="1" applyFont="1" applyFill="1" applyBorder="1" applyAlignment="1">
      <alignment horizontal="center" vertical="center"/>
    </xf>
    <xf numFmtId="0" fontId="4" fillId="0" borderId="3" xfId="1" applyFont="1" applyFill="1" applyBorder="1" applyAlignment="1">
      <alignment horizontal="left"/>
    </xf>
    <xf numFmtId="2" fontId="2" fillId="5" borderId="2" xfId="0" applyNumberFormat="1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thefiddler.substack.com/p/how-greedily-can-you-mow-the-lawn" TargetMode="External"/><Relationship Id="rId1" Type="http://schemas.openxmlformats.org/officeDocument/2006/relationships/hyperlink" Target="https://thefiddler.substack.com/p/can-you-race-against-zen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60055-BF54-4249-BEFB-3F2E3F1F3B92}">
  <sheetPr>
    <pageSetUpPr fitToPage="1"/>
  </sheetPr>
  <dimension ref="A1:L102"/>
  <sheetViews>
    <sheetView tabSelected="1" topLeftCell="C1" zoomScaleNormal="100" workbookViewId="0">
      <pane ySplit="2" topLeftCell="A3" activePane="bottomLeft" state="frozen"/>
      <selection pane="bottomLeft" activeCell="L6" sqref="L6"/>
    </sheetView>
  </sheetViews>
  <sheetFormatPr defaultRowHeight="15" x14ac:dyDescent="0.25"/>
  <cols>
    <col min="1" max="1" width="3.875" bestFit="1" customWidth="1"/>
    <col min="2" max="2" width="11.875" bestFit="1" customWidth="1"/>
    <col min="3" max="3" width="13" bestFit="1" customWidth="1"/>
    <col min="4" max="5" width="11.875" bestFit="1" customWidth="1"/>
    <col min="6" max="6" width="11.75" bestFit="1" customWidth="1"/>
    <col min="7" max="7" width="11.875" customWidth="1"/>
    <col min="8" max="8" width="8.875" bestFit="1" customWidth="1"/>
    <col min="9" max="9" width="14" bestFit="1" customWidth="1"/>
    <col min="10" max="11" width="6.625" customWidth="1"/>
    <col min="12" max="12" width="52.375" style="4" bestFit="1" customWidth="1"/>
  </cols>
  <sheetData>
    <row r="1" spans="1:12" ht="15.75" thickBot="1" x14ac:dyDescent="0.3">
      <c r="A1" s="2" t="s">
        <v>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7</v>
      </c>
      <c r="H1" s="6" t="s">
        <v>6</v>
      </c>
      <c r="I1" s="6" t="s">
        <v>9</v>
      </c>
      <c r="J1" s="8"/>
      <c r="K1" s="16">
        <f>SUM(D:D)</f>
        <v>22.000000000000007</v>
      </c>
      <c r="L1" s="17" t="s">
        <v>5</v>
      </c>
    </row>
    <row r="2" spans="1:12" ht="15.75" thickBot="1" x14ac:dyDescent="0.3">
      <c r="A2" s="11">
        <v>0</v>
      </c>
      <c r="B2" s="11">
        <v>5000</v>
      </c>
      <c r="C2" s="11">
        <v>24</v>
      </c>
      <c r="D2" s="12"/>
      <c r="E2" s="11">
        <f>B2</f>
        <v>5000</v>
      </c>
      <c r="F2" s="12"/>
      <c r="G2" s="12"/>
      <c r="H2" s="12"/>
      <c r="I2" s="12"/>
      <c r="J2" s="5"/>
      <c r="K2" s="18">
        <f>MAX(F:F)</f>
        <v>22.000000000000007</v>
      </c>
      <c r="L2" s="17" t="s">
        <v>10</v>
      </c>
    </row>
    <row r="3" spans="1:12" ht="15.75" thickTop="1" x14ac:dyDescent="0.25">
      <c r="A3" s="9">
        <f>A2+1</f>
        <v>1</v>
      </c>
      <c r="B3" s="9">
        <f>E2/2</f>
        <v>2500</v>
      </c>
      <c r="C3" s="14">
        <f>B2/C2</f>
        <v>208.33333333333334</v>
      </c>
      <c r="D3" s="9">
        <f>B3/C3</f>
        <v>12</v>
      </c>
      <c r="E3" s="9">
        <f t="shared" ref="E3:E34" si="0">B2-B3</f>
        <v>2500</v>
      </c>
      <c r="F3" s="9">
        <f>SUM(D$2:D3)</f>
        <v>12</v>
      </c>
      <c r="G3" s="9">
        <f>SUM($B$3:B3)</f>
        <v>2500</v>
      </c>
      <c r="H3" s="10">
        <f>G3/$B$2</f>
        <v>0.5</v>
      </c>
      <c r="I3" s="7">
        <f>(C3-$C$3)/$C$3</f>
        <v>0</v>
      </c>
      <c r="J3" s="5"/>
      <c r="K3" s="3"/>
      <c r="L3" s="3"/>
    </row>
    <row r="4" spans="1:12" x14ac:dyDescent="0.25">
      <c r="A4" s="9">
        <f t="shared" ref="A4:A67" si="1">A3+1</f>
        <v>2</v>
      </c>
      <c r="B4" s="1">
        <f>E3/2</f>
        <v>1250</v>
      </c>
      <c r="C4" s="15">
        <f>C3*1.1</f>
        <v>229.16666666666669</v>
      </c>
      <c r="D4" s="1">
        <f>B4/C4</f>
        <v>5.4545454545454541</v>
      </c>
      <c r="E4" s="1">
        <f t="shared" si="0"/>
        <v>1250</v>
      </c>
      <c r="F4" s="1">
        <f>SUM(D$2:D4)</f>
        <v>17.454545454545453</v>
      </c>
      <c r="G4" s="1">
        <f>SUM($B$3:B4)</f>
        <v>3750</v>
      </c>
      <c r="H4" s="7">
        <f t="shared" ref="H4:H67" si="2">G4/$B$2</f>
        <v>0.75</v>
      </c>
      <c r="I4" s="7">
        <f>(C4-$C$3)/$C$3</f>
        <v>0.10000000000000005</v>
      </c>
      <c r="J4" s="5"/>
      <c r="K4" s="3"/>
      <c r="L4" s="3"/>
    </row>
    <row r="5" spans="1:12" x14ac:dyDescent="0.25">
      <c r="A5" s="9">
        <f t="shared" si="1"/>
        <v>3</v>
      </c>
      <c r="B5" s="1">
        <f t="shared" ref="B5:B22" si="3">E4/2</f>
        <v>625</v>
      </c>
      <c r="C5" s="15">
        <f t="shared" ref="C5:C68" si="4">C4*1.1</f>
        <v>252.08333333333337</v>
      </c>
      <c r="D5" s="1">
        <f t="shared" ref="D5:D68" si="5">B5/C5</f>
        <v>2.4793388429752063</v>
      </c>
      <c r="E5" s="1">
        <f t="shared" si="0"/>
        <v>625</v>
      </c>
      <c r="F5" s="1">
        <f>SUM(D$2:D5)</f>
        <v>19.93388429752066</v>
      </c>
      <c r="G5" s="1">
        <f>SUM($B$3:B5)</f>
        <v>4375</v>
      </c>
      <c r="H5" s="7">
        <f t="shared" si="2"/>
        <v>0.875</v>
      </c>
      <c r="I5" s="7">
        <f>(C5-$C$3)/$C$3</f>
        <v>0.21000000000000013</v>
      </c>
      <c r="J5" s="5"/>
      <c r="K5" s="3"/>
      <c r="L5" s="3"/>
    </row>
    <row r="6" spans="1:12" x14ac:dyDescent="0.25">
      <c r="A6" s="9">
        <f t="shared" si="1"/>
        <v>4</v>
      </c>
      <c r="B6" s="1">
        <f t="shared" si="3"/>
        <v>312.5</v>
      </c>
      <c r="C6" s="15">
        <f t="shared" si="4"/>
        <v>277.29166666666674</v>
      </c>
      <c r="D6" s="1">
        <f t="shared" si="5"/>
        <v>1.1269722013523664</v>
      </c>
      <c r="E6" s="1">
        <f t="shared" si="0"/>
        <v>312.5</v>
      </c>
      <c r="F6" s="1">
        <f>SUM(D$2:D6)</f>
        <v>21.060856498873026</v>
      </c>
      <c r="G6" s="1">
        <f>SUM($B$3:B6)</f>
        <v>4687.5</v>
      </c>
      <c r="H6" s="7">
        <f t="shared" si="2"/>
        <v>0.9375</v>
      </c>
      <c r="I6" s="7">
        <f t="shared" ref="I6:I69" si="6">(C6-$C$3)/$C$3</f>
        <v>0.33100000000000029</v>
      </c>
      <c r="J6" s="5"/>
      <c r="K6" s="3"/>
      <c r="L6" s="3"/>
    </row>
    <row r="7" spans="1:12" x14ac:dyDescent="0.25">
      <c r="A7" s="9">
        <f t="shared" si="1"/>
        <v>5</v>
      </c>
      <c r="B7" s="1">
        <f t="shared" si="3"/>
        <v>156.25</v>
      </c>
      <c r="C7" s="15">
        <f t="shared" si="4"/>
        <v>305.02083333333343</v>
      </c>
      <c r="D7" s="1">
        <f t="shared" si="5"/>
        <v>0.51226009152380281</v>
      </c>
      <c r="E7" s="1">
        <f t="shared" si="0"/>
        <v>156.25</v>
      </c>
      <c r="F7" s="1">
        <f>SUM(D$2:D7)</f>
        <v>21.573116590396829</v>
      </c>
      <c r="G7" s="1">
        <f>SUM($B$3:B7)</f>
        <v>4843.75</v>
      </c>
      <c r="H7" s="7">
        <f t="shared" si="2"/>
        <v>0.96875</v>
      </c>
      <c r="I7" s="7">
        <f t="shared" si="6"/>
        <v>0.4641000000000004</v>
      </c>
      <c r="J7" s="5"/>
      <c r="K7" s="3"/>
      <c r="L7" s="3"/>
    </row>
    <row r="8" spans="1:12" x14ac:dyDescent="0.25">
      <c r="A8" s="9">
        <f t="shared" si="1"/>
        <v>6</v>
      </c>
      <c r="B8" s="1">
        <f t="shared" si="3"/>
        <v>78.125</v>
      </c>
      <c r="C8" s="15">
        <f t="shared" si="4"/>
        <v>335.52291666666679</v>
      </c>
      <c r="D8" s="1">
        <f t="shared" si="5"/>
        <v>0.23284549614718311</v>
      </c>
      <c r="E8" s="1">
        <f t="shared" si="0"/>
        <v>78.125</v>
      </c>
      <c r="F8" s="1">
        <f>SUM(D$2:D8)</f>
        <v>21.805962086544014</v>
      </c>
      <c r="G8" s="1">
        <f>SUM($B$3:B8)</f>
        <v>4921.875</v>
      </c>
      <c r="H8" s="7">
        <f t="shared" si="2"/>
        <v>0.984375</v>
      </c>
      <c r="I8" s="7">
        <f t="shared" si="6"/>
        <v>0.61051000000000055</v>
      </c>
      <c r="J8" s="5"/>
      <c r="K8" s="3"/>
      <c r="L8" s="3"/>
    </row>
    <row r="9" spans="1:12" x14ac:dyDescent="0.25">
      <c r="A9" s="9">
        <f t="shared" si="1"/>
        <v>7</v>
      </c>
      <c r="B9" s="1">
        <f t="shared" si="3"/>
        <v>39.0625</v>
      </c>
      <c r="C9" s="15">
        <f t="shared" si="4"/>
        <v>369.07520833333348</v>
      </c>
      <c r="D9" s="1">
        <f t="shared" si="5"/>
        <v>0.10583886188508322</v>
      </c>
      <c r="E9" s="1">
        <f t="shared" si="0"/>
        <v>39.0625</v>
      </c>
      <c r="F9" s="1">
        <f>SUM(D$2:D9)</f>
        <v>21.911800948429097</v>
      </c>
      <c r="G9" s="13">
        <f>SUM($B$3:B9)</f>
        <v>4960.9375</v>
      </c>
      <c r="H9" s="7">
        <f t="shared" si="2"/>
        <v>0.9921875</v>
      </c>
      <c r="I9" s="7">
        <f t="shared" si="6"/>
        <v>0.77156100000000061</v>
      </c>
      <c r="J9" s="5"/>
      <c r="K9" s="3"/>
      <c r="L9" s="3"/>
    </row>
    <row r="10" spans="1:12" x14ac:dyDescent="0.25">
      <c r="A10" s="9">
        <f t="shared" si="1"/>
        <v>8</v>
      </c>
      <c r="B10" s="1">
        <f t="shared" si="3"/>
        <v>19.53125</v>
      </c>
      <c r="C10" s="15">
        <f t="shared" si="4"/>
        <v>405.98272916666684</v>
      </c>
      <c r="D10" s="1">
        <f t="shared" si="5"/>
        <v>4.810857358412874E-2</v>
      </c>
      <c r="E10" s="1">
        <f t="shared" si="0"/>
        <v>19.53125</v>
      </c>
      <c r="F10" s="1">
        <f>SUM(D$2:D10)</f>
        <v>21.959909522013227</v>
      </c>
      <c r="G10" s="13">
        <f>SUM($B$3:B10)</f>
        <v>4980.46875</v>
      </c>
      <c r="H10" s="7">
        <f t="shared" si="2"/>
        <v>0.99609375</v>
      </c>
      <c r="I10" s="7">
        <f t="shared" si="6"/>
        <v>0.94871710000000076</v>
      </c>
      <c r="J10" s="5"/>
      <c r="K10" s="3"/>
      <c r="L10" s="3"/>
    </row>
    <row r="11" spans="1:12" x14ac:dyDescent="0.25">
      <c r="A11" s="9">
        <f t="shared" si="1"/>
        <v>9</v>
      </c>
      <c r="B11" s="1">
        <f t="shared" si="3"/>
        <v>9.765625</v>
      </c>
      <c r="C11" s="15">
        <f t="shared" si="4"/>
        <v>446.58100208333354</v>
      </c>
      <c r="D11" s="1">
        <f t="shared" si="5"/>
        <v>2.1867533447331243E-2</v>
      </c>
      <c r="E11" s="1">
        <f t="shared" si="0"/>
        <v>9.765625</v>
      </c>
      <c r="F11" s="1">
        <f>SUM(D$2:D11)</f>
        <v>21.981777055460558</v>
      </c>
      <c r="G11" s="13">
        <f>SUM($B$3:B11)</f>
        <v>4990.234375</v>
      </c>
      <c r="H11" s="7">
        <f t="shared" si="2"/>
        <v>0.998046875</v>
      </c>
      <c r="I11" s="7">
        <f t="shared" si="6"/>
        <v>1.1435888100000009</v>
      </c>
      <c r="J11" s="5"/>
      <c r="K11" s="3"/>
      <c r="L11" s="3"/>
    </row>
    <row r="12" spans="1:12" x14ac:dyDescent="0.25">
      <c r="A12" s="9">
        <f t="shared" si="1"/>
        <v>10</v>
      </c>
      <c r="B12" s="1">
        <f t="shared" si="3"/>
        <v>4.8828125</v>
      </c>
      <c r="C12" s="15">
        <f t="shared" si="4"/>
        <v>491.23910229166694</v>
      </c>
      <c r="D12" s="1">
        <f t="shared" si="5"/>
        <v>9.9397879306051106E-3</v>
      </c>
      <c r="E12" s="1">
        <f t="shared" si="0"/>
        <v>4.8828125</v>
      </c>
      <c r="F12" s="1">
        <f>SUM(D$2:D12)</f>
        <v>21.991716843391163</v>
      </c>
      <c r="G12" s="13">
        <f>SUM($B$3:B12)</f>
        <v>4995.1171875</v>
      </c>
      <c r="H12" s="7">
        <f t="shared" si="2"/>
        <v>0.9990234375</v>
      </c>
      <c r="I12" s="7">
        <f t="shared" si="6"/>
        <v>1.3579476910000012</v>
      </c>
      <c r="J12" s="5"/>
      <c r="K12" s="3"/>
      <c r="L12" s="3"/>
    </row>
    <row r="13" spans="1:12" x14ac:dyDescent="0.25">
      <c r="A13" s="9">
        <f t="shared" si="1"/>
        <v>11</v>
      </c>
      <c r="B13" s="1">
        <f t="shared" si="3"/>
        <v>2.44140625</v>
      </c>
      <c r="C13" s="15">
        <f t="shared" si="4"/>
        <v>540.36301252083365</v>
      </c>
      <c r="D13" s="1">
        <f t="shared" si="5"/>
        <v>4.5180854230023222E-3</v>
      </c>
      <c r="E13" s="1">
        <f t="shared" si="0"/>
        <v>2.44140625</v>
      </c>
      <c r="F13" s="1">
        <f>SUM(D$2:D13)</f>
        <v>21.996234928814165</v>
      </c>
      <c r="G13" s="13">
        <f>SUM($B$3:B13)</f>
        <v>4997.55859375</v>
      </c>
      <c r="H13" s="7">
        <f t="shared" si="2"/>
        <v>0.99951171875</v>
      </c>
      <c r="I13" s="7">
        <f t="shared" si="6"/>
        <v>1.5937424601000012</v>
      </c>
      <c r="J13" s="5"/>
      <c r="K13" s="3"/>
      <c r="L13" s="3"/>
    </row>
    <row r="14" spans="1:12" x14ac:dyDescent="0.25">
      <c r="A14" s="9">
        <f t="shared" si="1"/>
        <v>12</v>
      </c>
      <c r="B14" s="1">
        <f t="shared" si="3"/>
        <v>1.220703125</v>
      </c>
      <c r="C14" s="15">
        <f t="shared" si="4"/>
        <v>594.39931377291703</v>
      </c>
      <c r="D14" s="1">
        <f t="shared" si="5"/>
        <v>2.0536751922737829E-3</v>
      </c>
      <c r="E14" s="1">
        <f t="shared" si="0"/>
        <v>1.220703125</v>
      </c>
      <c r="F14" s="1">
        <f>SUM(D$2:D14)</f>
        <v>21.99828860400644</v>
      </c>
      <c r="G14" s="13">
        <f>SUM($B$3:B14)</f>
        <v>4998.779296875</v>
      </c>
      <c r="H14" s="7">
        <f t="shared" si="2"/>
        <v>0.999755859375</v>
      </c>
      <c r="I14" s="7">
        <f t="shared" si="6"/>
        <v>1.8531167061100016</v>
      </c>
      <c r="J14" s="5"/>
      <c r="K14" s="3"/>
      <c r="L14" s="3"/>
    </row>
    <row r="15" spans="1:12" x14ac:dyDescent="0.25">
      <c r="A15" s="9">
        <f t="shared" si="1"/>
        <v>13</v>
      </c>
      <c r="B15" s="1">
        <f t="shared" si="3"/>
        <v>0.6103515625</v>
      </c>
      <c r="C15" s="15">
        <f t="shared" si="4"/>
        <v>653.83924515020874</v>
      </c>
      <c r="D15" s="1">
        <f t="shared" si="5"/>
        <v>9.334887237608104E-4</v>
      </c>
      <c r="E15" s="1">
        <f t="shared" si="0"/>
        <v>0.6103515625</v>
      </c>
      <c r="F15" s="1">
        <f>SUM(D$2:D15)</f>
        <v>21.9992220927302</v>
      </c>
      <c r="G15" s="13">
        <f>SUM($B$3:B15)</f>
        <v>4999.3896484375</v>
      </c>
      <c r="H15" s="7">
        <f t="shared" si="2"/>
        <v>0.9998779296875</v>
      </c>
      <c r="I15" s="7">
        <f t="shared" si="6"/>
        <v>2.1384283767210017</v>
      </c>
      <c r="J15" s="5"/>
      <c r="K15" s="3"/>
      <c r="L15" s="3"/>
    </row>
    <row r="16" spans="1:12" x14ac:dyDescent="0.25">
      <c r="A16" s="9">
        <f t="shared" si="1"/>
        <v>14</v>
      </c>
      <c r="B16" s="1">
        <f t="shared" si="3"/>
        <v>0.30517578125</v>
      </c>
      <c r="C16" s="15">
        <f t="shared" si="4"/>
        <v>719.22316966522965</v>
      </c>
      <c r="D16" s="1">
        <f t="shared" si="5"/>
        <v>4.2431305625491381E-4</v>
      </c>
      <c r="E16" s="1">
        <f t="shared" si="0"/>
        <v>0.30517578125</v>
      </c>
      <c r="F16" s="1">
        <f>SUM(D$2:D16)</f>
        <v>21.999646405786454</v>
      </c>
      <c r="G16" s="13">
        <f>SUM($B$3:B16)</f>
        <v>4999.69482421875</v>
      </c>
      <c r="H16" s="7">
        <f t="shared" si="2"/>
        <v>0.99993896484375</v>
      </c>
      <c r="I16" s="7">
        <f t="shared" si="6"/>
        <v>2.452271214393102</v>
      </c>
      <c r="J16" s="5"/>
      <c r="K16" s="3"/>
      <c r="L16" s="3"/>
    </row>
    <row r="17" spans="1:12" x14ac:dyDescent="0.25">
      <c r="A17" s="9">
        <f t="shared" si="1"/>
        <v>15</v>
      </c>
      <c r="B17" s="1">
        <f t="shared" si="3"/>
        <v>0.152587890625</v>
      </c>
      <c r="C17" s="15">
        <f t="shared" si="4"/>
        <v>791.14548663175265</v>
      </c>
      <c r="D17" s="1">
        <f t="shared" si="5"/>
        <v>1.9286957102496082E-4</v>
      </c>
      <c r="E17" s="1">
        <f t="shared" si="0"/>
        <v>0.152587890625</v>
      </c>
      <c r="F17" s="1">
        <f>SUM(D$2:D17)</f>
        <v>21.999839275357477</v>
      </c>
      <c r="G17" s="13">
        <f>SUM($B$3:B17)</f>
        <v>4999.847412109375</v>
      </c>
      <c r="H17" s="7">
        <f t="shared" si="2"/>
        <v>0.999969482421875</v>
      </c>
      <c r="I17" s="7">
        <f t="shared" si="6"/>
        <v>2.7974983358324126</v>
      </c>
      <c r="J17" s="5"/>
      <c r="K17" s="3"/>
      <c r="L17" s="3"/>
    </row>
    <row r="18" spans="1:12" x14ac:dyDescent="0.25">
      <c r="A18" s="9">
        <f t="shared" si="1"/>
        <v>16</v>
      </c>
      <c r="B18" s="1">
        <f t="shared" si="3"/>
        <v>7.62939453125E-2</v>
      </c>
      <c r="C18" s="15">
        <f t="shared" si="4"/>
        <v>870.260035294928</v>
      </c>
      <c r="D18" s="1">
        <f t="shared" si="5"/>
        <v>8.7667986829527626E-5</v>
      </c>
      <c r="E18" s="1">
        <f t="shared" si="0"/>
        <v>7.62939453125E-2</v>
      </c>
      <c r="F18" s="1">
        <f>SUM(D$2:D18)</f>
        <v>21.999926943344306</v>
      </c>
      <c r="G18" s="13">
        <f>SUM($B$3:B18)</f>
        <v>4999.9237060546875</v>
      </c>
      <c r="H18" s="7">
        <f t="shared" si="2"/>
        <v>0.9999847412109375</v>
      </c>
      <c r="I18" s="7">
        <f t="shared" si="6"/>
        <v>3.177248169415654</v>
      </c>
      <c r="J18" s="5"/>
      <c r="K18" s="3"/>
      <c r="L18" s="3"/>
    </row>
    <row r="19" spans="1:12" x14ac:dyDescent="0.25">
      <c r="A19" s="9">
        <f t="shared" si="1"/>
        <v>17</v>
      </c>
      <c r="B19" s="1">
        <f t="shared" si="3"/>
        <v>3.814697265625E-2</v>
      </c>
      <c r="C19" s="15">
        <f t="shared" si="4"/>
        <v>957.28603882442087</v>
      </c>
      <c r="D19" s="1">
        <f t="shared" si="5"/>
        <v>3.9849084922512555E-5</v>
      </c>
      <c r="E19" s="1">
        <f t="shared" si="0"/>
        <v>3.814697265625E-2</v>
      </c>
      <c r="F19" s="1">
        <f>SUM(D$2:D19)</f>
        <v>21.99996679242923</v>
      </c>
      <c r="G19" s="13">
        <f>SUM($B$3:B19)</f>
        <v>4999.9618530273438</v>
      </c>
      <c r="H19" s="7">
        <f t="shared" si="2"/>
        <v>0.99999237060546875</v>
      </c>
      <c r="I19" s="7">
        <f t="shared" si="6"/>
        <v>3.5949729863572197</v>
      </c>
      <c r="J19" s="5"/>
      <c r="K19" s="3"/>
      <c r="L19" s="3"/>
    </row>
    <row r="20" spans="1:12" x14ac:dyDescent="0.25">
      <c r="A20" s="9">
        <f t="shared" si="1"/>
        <v>18</v>
      </c>
      <c r="B20" s="1">
        <f t="shared" si="3"/>
        <v>1.9073486328125E-2</v>
      </c>
      <c r="C20" s="15">
        <f t="shared" si="4"/>
        <v>1053.014642706863</v>
      </c>
      <c r="D20" s="1">
        <f t="shared" si="5"/>
        <v>1.8113220419323887E-5</v>
      </c>
      <c r="E20" s="1">
        <f t="shared" si="0"/>
        <v>1.9073486328125E-2</v>
      </c>
      <c r="F20" s="1">
        <f>SUM(D$2:D20)</f>
        <v>21.999984905649651</v>
      </c>
      <c r="G20" s="13">
        <f>SUM($B$3:B20)</f>
        <v>4999.9809265136719</v>
      </c>
      <c r="H20" s="7">
        <f t="shared" si="2"/>
        <v>0.99999618530273438</v>
      </c>
      <c r="I20" s="7">
        <f t="shared" si="6"/>
        <v>4.0544702849929424</v>
      </c>
      <c r="J20" s="5"/>
      <c r="K20" s="3"/>
      <c r="L20" s="3"/>
    </row>
    <row r="21" spans="1:12" x14ac:dyDescent="0.25">
      <c r="A21" s="9">
        <f t="shared" si="1"/>
        <v>19</v>
      </c>
      <c r="B21" s="1">
        <f t="shared" si="3"/>
        <v>9.5367431640625E-3</v>
      </c>
      <c r="C21" s="15">
        <f t="shared" si="4"/>
        <v>1158.3161069775495</v>
      </c>
      <c r="D21" s="1">
        <f t="shared" si="5"/>
        <v>8.2332820087835846E-6</v>
      </c>
      <c r="E21" s="1">
        <f t="shared" si="0"/>
        <v>9.5367431640625E-3</v>
      </c>
      <c r="F21" s="1">
        <f>SUM(D$2:D21)</f>
        <v>21.999993138931661</v>
      </c>
      <c r="G21" s="13">
        <f>SUM($B$3:B21)</f>
        <v>4999.9904632568359</v>
      </c>
      <c r="H21" s="7">
        <f t="shared" si="2"/>
        <v>0.99999809265136719</v>
      </c>
      <c r="I21" s="7">
        <f t="shared" si="6"/>
        <v>4.5599173134922371</v>
      </c>
      <c r="J21" s="5"/>
      <c r="K21" s="3"/>
      <c r="L21" s="3"/>
    </row>
    <row r="22" spans="1:12" x14ac:dyDescent="0.25">
      <c r="A22" s="9">
        <f t="shared" si="1"/>
        <v>20</v>
      </c>
      <c r="B22" s="1">
        <f t="shared" si="3"/>
        <v>4.76837158203125E-3</v>
      </c>
      <c r="C22" s="15">
        <f t="shared" si="4"/>
        <v>1274.1477176753044</v>
      </c>
      <c r="D22" s="1">
        <f t="shared" si="5"/>
        <v>3.7424009130834473E-6</v>
      </c>
      <c r="E22" s="1">
        <f t="shared" si="0"/>
        <v>4.76837158203125E-3</v>
      </c>
      <c r="F22" s="1">
        <f>SUM(D$2:D22)</f>
        <v>21.999996881332574</v>
      </c>
      <c r="G22" s="13">
        <f>SUM($B$3:B22)</f>
        <v>4999.995231628418</v>
      </c>
      <c r="H22" s="7">
        <f t="shared" si="2"/>
        <v>0.99999904632568359</v>
      </c>
      <c r="I22" s="7">
        <f t="shared" si="6"/>
        <v>5.1159090448414615</v>
      </c>
      <c r="J22" s="5"/>
      <c r="K22" s="3"/>
      <c r="L22" s="3"/>
    </row>
    <row r="23" spans="1:12" x14ac:dyDescent="0.25">
      <c r="A23" s="9">
        <f t="shared" si="1"/>
        <v>21</v>
      </c>
      <c r="B23" s="1">
        <f t="shared" ref="B23:B86" si="7">E22/2</f>
        <v>2.384185791015625E-3</v>
      </c>
      <c r="C23" s="15">
        <f t="shared" si="4"/>
        <v>1401.5624894428349</v>
      </c>
      <c r="D23" s="1">
        <f t="shared" si="5"/>
        <v>1.7010913241288396E-6</v>
      </c>
      <c r="E23" s="1">
        <f t="shared" si="0"/>
        <v>2.384185791015625E-3</v>
      </c>
      <c r="F23" s="1">
        <f>SUM(D$2:D23)</f>
        <v>21.999998582423899</v>
      </c>
      <c r="G23" s="13">
        <f>SUM($B$3:B23)</f>
        <v>4999.997615814209</v>
      </c>
      <c r="H23" s="7">
        <f t="shared" si="2"/>
        <v>0.9999995231628418</v>
      </c>
      <c r="I23" s="7">
        <f t="shared" si="6"/>
        <v>5.7274999493256074</v>
      </c>
      <c r="J23" s="5"/>
      <c r="K23" s="3"/>
      <c r="L23" s="3"/>
    </row>
    <row r="24" spans="1:12" x14ac:dyDescent="0.25">
      <c r="A24" s="9">
        <f t="shared" si="1"/>
        <v>22</v>
      </c>
      <c r="B24" s="1">
        <f t="shared" si="7"/>
        <v>1.1920928955078125E-3</v>
      </c>
      <c r="C24" s="15">
        <f t="shared" si="4"/>
        <v>1541.7187383871185</v>
      </c>
      <c r="D24" s="1">
        <f t="shared" si="5"/>
        <v>7.7322332914947261E-7</v>
      </c>
      <c r="E24" s="1">
        <f t="shared" si="0"/>
        <v>1.1920928955078125E-3</v>
      </c>
      <c r="F24" s="1">
        <f>SUM(D$2:D24)</f>
        <v>21.99999935564723</v>
      </c>
      <c r="G24" s="13">
        <f>SUM($B$3:B24)</f>
        <v>4999.9988079071045</v>
      </c>
      <c r="H24" s="7">
        <f t="shared" si="2"/>
        <v>0.9999997615814209</v>
      </c>
      <c r="I24" s="7">
        <f t="shared" si="6"/>
        <v>6.4002499442581691</v>
      </c>
      <c r="J24" s="5"/>
      <c r="K24" s="3"/>
      <c r="L24" s="3"/>
    </row>
    <row r="25" spans="1:12" x14ac:dyDescent="0.25">
      <c r="A25" s="9">
        <f t="shared" si="1"/>
        <v>23</v>
      </c>
      <c r="B25" s="1">
        <f t="shared" si="7"/>
        <v>5.9604644775390625E-4</v>
      </c>
      <c r="C25" s="15">
        <f t="shared" si="4"/>
        <v>1695.8906122258304</v>
      </c>
      <c r="D25" s="1">
        <f t="shared" si="5"/>
        <v>3.5146514961339658E-7</v>
      </c>
      <c r="E25" s="1">
        <f t="shared" si="0"/>
        <v>5.9604644775390625E-4</v>
      </c>
      <c r="F25" s="1">
        <f>SUM(D$2:D25)</f>
        <v>21.99999970711238</v>
      </c>
      <c r="G25" s="13">
        <f>SUM($B$3:B25)</f>
        <v>4999.9994039535522</v>
      </c>
      <c r="H25" s="7">
        <f t="shared" si="2"/>
        <v>0.99999988079071045</v>
      </c>
      <c r="I25" s="7">
        <f t="shared" si="6"/>
        <v>7.1402749386839863</v>
      </c>
      <c r="J25" s="5"/>
      <c r="K25" s="3"/>
      <c r="L25" s="3"/>
    </row>
    <row r="26" spans="1:12" x14ac:dyDescent="0.25">
      <c r="A26" s="9">
        <f t="shared" si="1"/>
        <v>24</v>
      </c>
      <c r="B26" s="1">
        <f t="shared" si="7"/>
        <v>2.9802322387695313E-4</v>
      </c>
      <c r="C26" s="15">
        <f t="shared" si="4"/>
        <v>1865.4796734484137</v>
      </c>
      <c r="D26" s="1">
        <f t="shared" si="5"/>
        <v>1.5975688618790754E-7</v>
      </c>
      <c r="E26" s="1">
        <f t="shared" si="0"/>
        <v>2.9802322387695313E-4</v>
      </c>
      <c r="F26" s="1">
        <f>SUM(D$2:D26)</f>
        <v>21.999999866869267</v>
      </c>
      <c r="G26" s="13">
        <f>SUM($B$3:B26)</f>
        <v>4999.9997019767761</v>
      </c>
      <c r="H26" s="7">
        <f t="shared" si="2"/>
        <v>0.99999994039535522</v>
      </c>
      <c r="I26" s="7">
        <f t="shared" si="6"/>
        <v>7.9543024325523852</v>
      </c>
      <c r="J26" s="5"/>
      <c r="K26" s="3"/>
      <c r="L26" s="3"/>
    </row>
    <row r="27" spans="1:12" x14ac:dyDescent="0.25">
      <c r="A27" s="9">
        <f t="shared" si="1"/>
        <v>25</v>
      </c>
      <c r="B27" s="1">
        <f t="shared" si="7"/>
        <v>1.4901161193847656E-4</v>
      </c>
      <c r="C27" s="15">
        <f t="shared" si="4"/>
        <v>2052.0276407932552</v>
      </c>
      <c r="D27" s="1">
        <f t="shared" si="5"/>
        <v>7.2616766449048872E-8</v>
      </c>
      <c r="E27" s="1">
        <f t="shared" si="0"/>
        <v>1.4901161193847656E-4</v>
      </c>
      <c r="F27" s="1">
        <f>SUM(D$2:D27)</f>
        <v>21.999999939486035</v>
      </c>
      <c r="G27" s="13">
        <f>SUM($B$3:B27)</f>
        <v>4999.9998509883881</v>
      </c>
      <c r="H27" s="7">
        <f t="shared" si="2"/>
        <v>0.99999997019767761</v>
      </c>
      <c r="I27" s="7">
        <f t="shared" si="6"/>
        <v>8.8497326758076245</v>
      </c>
      <c r="J27" s="5"/>
      <c r="K27" s="3"/>
      <c r="L27" s="3"/>
    </row>
    <row r="28" spans="1:12" x14ac:dyDescent="0.25">
      <c r="A28" s="9">
        <f t="shared" si="1"/>
        <v>26</v>
      </c>
      <c r="B28" s="1">
        <f t="shared" si="7"/>
        <v>7.4505805969238281E-5</v>
      </c>
      <c r="C28" s="15">
        <f t="shared" si="4"/>
        <v>2257.2304048725809</v>
      </c>
      <c r="D28" s="1">
        <f t="shared" si="5"/>
        <v>3.3007621113204029E-8</v>
      </c>
      <c r="E28" s="1">
        <f t="shared" si="0"/>
        <v>7.4505805969238281E-5</v>
      </c>
      <c r="F28" s="1">
        <f>SUM(D$2:D28)</f>
        <v>21.999999972493654</v>
      </c>
      <c r="G28" s="13">
        <f>SUM($B$3:B28)</f>
        <v>4999.999925494194</v>
      </c>
      <c r="H28" s="7">
        <f t="shared" si="2"/>
        <v>0.99999998509883881</v>
      </c>
      <c r="I28" s="7">
        <f t="shared" si="6"/>
        <v>9.8347059433883874</v>
      </c>
      <c r="J28" s="5"/>
      <c r="K28" s="3"/>
      <c r="L28" s="3"/>
    </row>
    <row r="29" spans="1:12" x14ac:dyDescent="0.25">
      <c r="A29" s="9">
        <f t="shared" si="1"/>
        <v>27</v>
      </c>
      <c r="B29" s="1">
        <f t="shared" si="7"/>
        <v>3.7252902984619141E-5</v>
      </c>
      <c r="C29" s="15">
        <f t="shared" si="4"/>
        <v>2482.9534453598394</v>
      </c>
      <c r="D29" s="1">
        <f t="shared" si="5"/>
        <v>1.5003464142365464E-8</v>
      </c>
      <c r="E29" s="1">
        <f t="shared" si="0"/>
        <v>3.7252902984619141E-5</v>
      </c>
      <c r="F29" s="1">
        <f>SUM(D$2:D29)</f>
        <v>21.999999987497119</v>
      </c>
      <c r="G29" s="13">
        <f>SUM($B$3:B29)</f>
        <v>4999.999962747097</v>
      </c>
      <c r="H29" s="7">
        <f t="shared" si="2"/>
        <v>0.9999999925494194</v>
      </c>
      <c r="I29" s="7">
        <f t="shared" si="6"/>
        <v>10.918176537727227</v>
      </c>
      <c r="J29" s="5"/>
      <c r="K29" s="3"/>
      <c r="L29" s="3"/>
    </row>
    <row r="30" spans="1:12" x14ac:dyDescent="0.25">
      <c r="A30" s="9">
        <f t="shared" si="1"/>
        <v>28</v>
      </c>
      <c r="B30" s="1">
        <f t="shared" si="7"/>
        <v>1.862645149230957E-5</v>
      </c>
      <c r="C30" s="15">
        <f t="shared" si="4"/>
        <v>2731.2487898958234</v>
      </c>
      <c r="D30" s="1">
        <f t="shared" si="5"/>
        <v>6.8197564283479388E-9</v>
      </c>
      <c r="E30" s="1">
        <f t="shared" si="0"/>
        <v>1.862645149230957E-5</v>
      </c>
      <c r="F30" s="1">
        <f>SUM(D$2:D30)</f>
        <v>21.999999994316877</v>
      </c>
      <c r="G30" s="13">
        <f>SUM($B$3:B30)</f>
        <v>4999.9999813735485</v>
      </c>
      <c r="H30" s="7">
        <f t="shared" si="2"/>
        <v>0.9999999962747097</v>
      </c>
      <c r="I30" s="7">
        <f t="shared" si="6"/>
        <v>12.10999419149995</v>
      </c>
      <c r="J30" s="5"/>
      <c r="K30" s="3"/>
      <c r="L30" s="3"/>
    </row>
    <row r="31" spans="1:12" x14ac:dyDescent="0.25">
      <c r="A31" s="9">
        <f t="shared" si="1"/>
        <v>29</v>
      </c>
      <c r="B31" s="1">
        <f t="shared" si="7"/>
        <v>9.3132257461547852E-6</v>
      </c>
      <c r="C31" s="15">
        <f t="shared" si="4"/>
        <v>3004.373668885406</v>
      </c>
      <c r="D31" s="1">
        <f t="shared" si="5"/>
        <v>3.099889285612699E-9</v>
      </c>
      <c r="E31" s="1">
        <f t="shared" si="0"/>
        <v>9.3132257461547852E-6</v>
      </c>
      <c r="F31" s="1">
        <f>SUM(D$2:D31)</f>
        <v>21.999999997416765</v>
      </c>
      <c r="G31" s="13">
        <f>SUM($B$3:B31)</f>
        <v>4999.9999906867743</v>
      </c>
      <c r="H31" s="7">
        <f t="shared" si="2"/>
        <v>0.99999999813735485</v>
      </c>
      <c r="I31" s="7">
        <f t="shared" si="6"/>
        <v>13.420993610649948</v>
      </c>
      <c r="J31" s="5"/>
      <c r="K31" s="3"/>
      <c r="L31" s="3"/>
    </row>
    <row r="32" spans="1:12" x14ac:dyDescent="0.25">
      <c r="A32" s="9">
        <f t="shared" si="1"/>
        <v>30</v>
      </c>
      <c r="B32" s="1">
        <f t="shared" si="7"/>
        <v>4.6566128730773926E-6</v>
      </c>
      <c r="C32" s="15">
        <f t="shared" si="4"/>
        <v>3304.811035773947</v>
      </c>
      <c r="D32" s="1">
        <f t="shared" si="5"/>
        <v>1.4090405843694085E-9</v>
      </c>
      <c r="E32" s="1">
        <f t="shared" si="0"/>
        <v>4.6566128730773926E-6</v>
      </c>
      <c r="F32" s="1">
        <f>SUM(D$2:D32)</f>
        <v>21.999999998825807</v>
      </c>
      <c r="G32" s="13">
        <f>SUM($B$3:B32)</f>
        <v>4999.9999953433871</v>
      </c>
      <c r="H32" s="7">
        <f t="shared" si="2"/>
        <v>0.99999999906867743</v>
      </c>
      <c r="I32" s="7">
        <f t="shared" si="6"/>
        <v>14.863092971714945</v>
      </c>
      <c r="J32" s="5"/>
      <c r="K32" s="3"/>
      <c r="L32" s="3"/>
    </row>
    <row r="33" spans="1:12" x14ac:dyDescent="0.25">
      <c r="A33" s="9">
        <f t="shared" si="1"/>
        <v>31</v>
      </c>
      <c r="B33" s="1">
        <f t="shared" si="7"/>
        <v>2.3283064365386963E-6</v>
      </c>
      <c r="C33" s="15">
        <f t="shared" si="4"/>
        <v>3635.292139351342</v>
      </c>
      <c r="D33" s="1">
        <f t="shared" si="5"/>
        <v>6.4047299289518565E-10</v>
      </c>
      <c r="E33" s="1">
        <f t="shared" si="0"/>
        <v>2.3283064365386963E-6</v>
      </c>
      <c r="F33" s="1">
        <f>SUM(D$2:D33)</f>
        <v>21.999999999466279</v>
      </c>
      <c r="G33" s="13">
        <f>SUM($B$3:B33)</f>
        <v>4999.9999976716936</v>
      </c>
      <c r="H33" s="7">
        <f t="shared" si="2"/>
        <v>0.99999999953433871</v>
      </c>
      <c r="I33" s="7">
        <f t="shared" si="6"/>
        <v>16.449402268886441</v>
      </c>
      <c r="J33" s="5"/>
      <c r="K33" s="3"/>
      <c r="L33" s="3"/>
    </row>
    <row r="34" spans="1:12" x14ac:dyDescent="0.25">
      <c r="A34" s="9">
        <f t="shared" si="1"/>
        <v>32</v>
      </c>
      <c r="B34" s="1">
        <f t="shared" si="7"/>
        <v>1.1641532182693481E-6</v>
      </c>
      <c r="C34" s="15">
        <f t="shared" si="4"/>
        <v>3998.8213532864766</v>
      </c>
      <c r="D34" s="1">
        <f t="shared" si="5"/>
        <v>2.911240876796298E-10</v>
      </c>
      <c r="E34" s="1">
        <f t="shared" si="0"/>
        <v>1.1641532182693481E-6</v>
      </c>
      <c r="F34" s="1">
        <f>SUM(D$2:D34)</f>
        <v>21.999999999757403</v>
      </c>
      <c r="G34" s="13">
        <f>SUM($B$3:B34)</f>
        <v>4999.9999988358468</v>
      </c>
      <c r="H34" s="7">
        <f t="shared" si="2"/>
        <v>0.99999999976716936</v>
      </c>
      <c r="I34" s="7">
        <f t="shared" si="6"/>
        <v>18.194342495775086</v>
      </c>
      <c r="J34" s="5"/>
      <c r="K34" s="3"/>
      <c r="L34" s="3"/>
    </row>
    <row r="35" spans="1:12" x14ac:dyDescent="0.25">
      <c r="A35" s="9">
        <f t="shared" si="1"/>
        <v>33</v>
      </c>
      <c r="B35" s="1">
        <f t="shared" si="7"/>
        <v>5.8207660913467407E-7</v>
      </c>
      <c r="C35" s="15">
        <f t="shared" si="4"/>
        <v>4398.7034886151241</v>
      </c>
      <c r="D35" s="1">
        <f t="shared" si="5"/>
        <v>1.3232913076346811E-10</v>
      </c>
      <c r="E35" s="1">
        <f t="shared" ref="E35:E66" si="8">B34-B35</f>
        <v>5.8207660913467407E-7</v>
      </c>
      <c r="F35" s="1">
        <f>SUM(D$2:D35)</f>
        <v>21.999999999889731</v>
      </c>
      <c r="G35" s="13">
        <f>SUM($B$3:B35)</f>
        <v>4999.9999994179234</v>
      </c>
      <c r="H35" s="7">
        <f t="shared" si="2"/>
        <v>0.99999999988358468</v>
      </c>
      <c r="I35" s="7">
        <f t="shared" si="6"/>
        <v>20.113776745352595</v>
      </c>
      <c r="J35" s="5"/>
      <c r="K35" s="3"/>
      <c r="L35" s="3"/>
    </row>
    <row r="36" spans="1:12" x14ac:dyDescent="0.25">
      <c r="A36" s="9">
        <f t="shared" si="1"/>
        <v>34</v>
      </c>
      <c r="B36" s="1">
        <f t="shared" si="7"/>
        <v>2.9103830456733704E-7</v>
      </c>
      <c r="C36" s="15">
        <f t="shared" si="4"/>
        <v>4838.573837476637</v>
      </c>
      <c r="D36" s="1">
        <f t="shared" si="5"/>
        <v>6.0149604892485499E-11</v>
      </c>
      <c r="E36" s="1">
        <f t="shared" si="8"/>
        <v>2.9103830456733704E-7</v>
      </c>
      <c r="F36" s="1">
        <f>SUM(D$2:D36)</f>
        <v>21.999999999949882</v>
      </c>
      <c r="G36" s="1">
        <f>SUM($B$3:B36)</f>
        <v>4999.9999997089617</v>
      </c>
      <c r="H36" s="7">
        <f t="shared" si="2"/>
        <v>0.99999999994179234</v>
      </c>
      <c r="I36" s="7">
        <f t="shared" si="6"/>
        <v>22.225154419887858</v>
      </c>
      <c r="J36" s="5"/>
      <c r="K36" s="3"/>
      <c r="L36" s="3"/>
    </row>
    <row r="37" spans="1:12" x14ac:dyDescent="0.25">
      <c r="A37" s="9">
        <f t="shared" si="1"/>
        <v>35</v>
      </c>
      <c r="B37" s="1">
        <f t="shared" si="7"/>
        <v>1.4551915228366852E-7</v>
      </c>
      <c r="C37" s="15">
        <f t="shared" si="4"/>
        <v>5322.4312212243012</v>
      </c>
      <c r="D37" s="1">
        <f t="shared" si="5"/>
        <v>2.7340729496584313E-11</v>
      </c>
      <c r="E37" s="1">
        <f t="shared" si="8"/>
        <v>1.4551915228366852E-7</v>
      </c>
      <c r="F37" s="1">
        <f>SUM(D$2:D37)</f>
        <v>21.999999999977224</v>
      </c>
      <c r="G37" s="1">
        <f>SUM($B$3:B37)</f>
        <v>4999.9999998544808</v>
      </c>
      <c r="H37" s="7">
        <f t="shared" si="2"/>
        <v>0.99999999997089617</v>
      </c>
      <c r="I37" s="7">
        <f t="shared" si="6"/>
        <v>24.547669861876646</v>
      </c>
      <c r="J37" s="5"/>
      <c r="K37" s="3"/>
      <c r="L37" s="3"/>
    </row>
    <row r="38" spans="1:12" x14ac:dyDescent="0.25">
      <c r="A38" s="9">
        <f t="shared" si="1"/>
        <v>36</v>
      </c>
      <c r="B38" s="1">
        <f t="shared" si="7"/>
        <v>7.2759576141834259E-8</v>
      </c>
      <c r="C38" s="15">
        <f t="shared" si="4"/>
        <v>5854.6743433467318</v>
      </c>
      <c r="D38" s="1">
        <f t="shared" si="5"/>
        <v>1.2427604316629233E-11</v>
      </c>
      <c r="E38" s="1">
        <f t="shared" si="8"/>
        <v>7.2759576141834259E-8</v>
      </c>
      <c r="F38" s="1">
        <f>SUM(D$2:D38)</f>
        <v>21.999999999989651</v>
      </c>
      <c r="G38" s="1">
        <f>SUM($B$3:B38)</f>
        <v>4999.9999999272404</v>
      </c>
      <c r="H38" s="7">
        <f t="shared" si="2"/>
        <v>0.99999999998544808</v>
      </c>
      <c r="I38" s="7">
        <f t="shared" si="6"/>
        <v>27.102436848064311</v>
      </c>
      <c r="J38" s="5"/>
      <c r="K38" s="3"/>
      <c r="L38" s="3"/>
    </row>
    <row r="39" spans="1:12" x14ac:dyDescent="0.25">
      <c r="A39" s="9">
        <f t="shared" si="1"/>
        <v>37</v>
      </c>
      <c r="B39" s="1">
        <f t="shared" si="7"/>
        <v>3.637978807091713E-8</v>
      </c>
      <c r="C39" s="15">
        <f t="shared" si="4"/>
        <v>6440.1417776814051</v>
      </c>
      <c r="D39" s="1">
        <f t="shared" si="5"/>
        <v>5.6489110530132875E-12</v>
      </c>
      <c r="E39" s="1">
        <f t="shared" si="8"/>
        <v>3.637978807091713E-8</v>
      </c>
      <c r="F39" s="1">
        <f>SUM(D$2:D39)</f>
        <v>21.9999999999953</v>
      </c>
      <c r="G39" s="1">
        <f>SUM($B$3:B39)</f>
        <v>4999.9999999636202</v>
      </c>
      <c r="H39" s="7">
        <f t="shared" si="2"/>
        <v>0.99999999999272404</v>
      </c>
      <c r="I39" s="7">
        <f t="shared" si="6"/>
        <v>29.912680532870745</v>
      </c>
      <c r="J39" s="5"/>
      <c r="K39" s="3"/>
      <c r="L39" s="3"/>
    </row>
    <row r="40" spans="1:12" x14ac:dyDescent="0.25">
      <c r="A40" s="9">
        <f t="shared" si="1"/>
        <v>38</v>
      </c>
      <c r="B40" s="1">
        <f t="shared" si="7"/>
        <v>1.8189894035458565E-8</v>
      </c>
      <c r="C40" s="15">
        <f t="shared" si="4"/>
        <v>7084.1559554495461</v>
      </c>
      <c r="D40" s="1">
        <f t="shared" si="5"/>
        <v>2.5676868422787667E-12</v>
      </c>
      <c r="E40" s="1">
        <f t="shared" si="8"/>
        <v>1.8189894035458565E-8</v>
      </c>
      <c r="F40" s="1">
        <f>SUM(D$2:D40)</f>
        <v>21.999999999997868</v>
      </c>
      <c r="G40" s="1">
        <f>SUM($B$3:B40)</f>
        <v>4999.9999999818101</v>
      </c>
      <c r="H40" s="7">
        <f t="shared" si="2"/>
        <v>0.99999999999636202</v>
      </c>
      <c r="I40" s="7">
        <f t="shared" si="6"/>
        <v>33.003948586157819</v>
      </c>
      <c r="J40" s="5"/>
      <c r="K40" s="3"/>
      <c r="L40" s="3"/>
    </row>
    <row r="41" spans="1:12" x14ac:dyDescent="0.25">
      <c r="A41" s="9">
        <f t="shared" si="1"/>
        <v>39</v>
      </c>
      <c r="B41" s="1">
        <f t="shared" si="7"/>
        <v>9.0949470177292824E-9</v>
      </c>
      <c r="C41" s="15">
        <f t="shared" si="4"/>
        <v>7792.5715509945012</v>
      </c>
      <c r="D41" s="1">
        <f t="shared" si="5"/>
        <v>1.1671303828539847E-12</v>
      </c>
      <c r="E41" s="1">
        <f t="shared" si="8"/>
        <v>9.0949470177292824E-9</v>
      </c>
      <c r="F41" s="1">
        <f>SUM(D$2:D41)</f>
        <v>21.999999999999037</v>
      </c>
      <c r="G41" s="1">
        <f>SUM($B$3:B41)</f>
        <v>4999.9999999909051</v>
      </c>
      <c r="H41" s="7">
        <f t="shared" si="2"/>
        <v>0.99999999999818101</v>
      </c>
      <c r="I41" s="7">
        <f t="shared" si="6"/>
        <v>36.404343444773609</v>
      </c>
      <c r="J41" s="5"/>
      <c r="K41" s="3"/>
      <c r="L41" s="3"/>
    </row>
    <row r="42" spans="1:12" x14ac:dyDescent="0.25">
      <c r="A42" s="9">
        <f t="shared" si="1"/>
        <v>40</v>
      </c>
      <c r="B42" s="1">
        <f t="shared" si="7"/>
        <v>4.5474735088646412E-9</v>
      </c>
      <c r="C42" s="15">
        <f t="shared" si="4"/>
        <v>8571.8287060939529</v>
      </c>
      <c r="D42" s="1">
        <f t="shared" si="5"/>
        <v>5.3051381038817478E-13</v>
      </c>
      <c r="E42" s="1">
        <f t="shared" si="8"/>
        <v>4.5474735088646412E-9</v>
      </c>
      <c r="F42" s="1">
        <f>SUM(D$2:D42)</f>
        <v>21.999999999999567</v>
      </c>
      <c r="G42" s="1">
        <f>SUM($B$3:B42)</f>
        <v>4999.9999999954525</v>
      </c>
      <c r="H42" s="7">
        <f t="shared" si="2"/>
        <v>0.99999999999909051</v>
      </c>
      <c r="I42" s="7">
        <f t="shared" si="6"/>
        <v>40.144777789250966</v>
      </c>
      <c r="J42" s="5"/>
      <c r="K42" s="3"/>
      <c r="L42" s="3"/>
    </row>
    <row r="43" spans="1:12" x14ac:dyDescent="0.25">
      <c r="A43" s="9">
        <f t="shared" si="1"/>
        <v>41</v>
      </c>
      <c r="B43" s="1">
        <f t="shared" si="7"/>
        <v>2.2737367544323206E-9</v>
      </c>
      <c r="C43" s="15">
        <f t="shared" si="4"/>
        <v>9429.0115767033494</v>
      </c>
      <c r="D43" s="1">
        <f t="shared" si="5"/>
        <v>2.41142641085534E-13</v>
      </c>
      <c r="E43" s="1">
        <f t="shared" si="8"/>
        <v>2.2737367544323206E-9</v>
      </c>
      <c r="F43" s="1">
        <f>SUM(D$2:D43)</f>
        <v>21.999999999999808</v>
      </c>
      <c r="G43" s="1">
        <f>SUM($B$3:B43)</f>
        <v>4999.9999999977263</v>
      </c>
      <c r="H43" s="7">
        <f t="shared" si="2"/>
        <v>0.99999999999954525</v>
      </c>
      <c r="I43" s="7">
        <f t="shared" si="6"/>
        <v>44.259255568176073</v>
      </c>
      <c r="J43" s="5"/>
      <c r="K43" s="3"/>
      <c r="L43" s="3"/>
    </row>
    <row r="44" spans="1:12" x14ac:dyDescent="0.25">
      <c r="A44" s="9">
        <f t="shared" si="1"/>
        <v>42</v>
      </c>
      <c r="B44" s="1">
        <f t="shared" si="7"/>
        <v>1.1368683772161603E-9</v>
      </c>
      <c r="C44" s="15">
        <f t="shared" si="4"/>
        <v>10371.912734373685</v>
      </c>
      <c r="D44" s="1">
        <f t="shared" si="5"/>
        <v>1.0961029140251544E-13</v>
      </c>
      <c r="E44" s="1">
        <f t="shared" si="8"/>
        <v>1.1368683772161603E-9</v>
      </c>
      <c r="F44" s="1">
        <f>SUM(D$2:D44)</f>
        <v>21.999999999999918</v>
      </c>
      <c r="G44" s="1">
        <f>SUM($B$3:B44)</f>
        <v>4999.9999999988631</v>
      </c>
      <c r="H44" s="7">
        <f t="shared" si="2"/>
        <v>0.99999999999977263</v>
      </c>
      <c r="I44" s="7">
        <f t="shared" si="6"/>
        <v>48.785181124993684</v>
      </c>
      <c r="J44" s="5"/>
      <c r="K44" s="3"/>
      <c r="L44" s="3"/>
    </row>
    <row r="45" spans="1:12" x14ac:dyDescent="0.25">
      <c r="A45" s="9">
        <f t="shared" si="1"/>
        <v>43</v>
      </c>
      <c r="B45" s="1">
        <f t="shared" si="7"/>
        <v>5.6843418860808015E-10</v>
      </c>
      <c r="C45" s="15">
        <f t="shared" si="4"/>
        <v>11409.104007811055</v>
      </c>
      <c r="D45" s="1">
        <f t="shared" si="5"/>
        <v>4.9822859728416103E-14</v>
      </c>
      <c r="E45" s="1">
        <f t="shared" si="8"/>
        <v>5.6843418860808015E-10</v>
      </c>
      <c r="F45" s="1">
        <f>SUM(D$2:D45)</f>
        <v>21.999999999999968</v>
      </c>
      <c r="G45" s="1">
        <f>SUM($B$3:B45)</f>
        <v>4999.9999999994316</v>
      </c>
      <c r="H45" s="7">
        <f t="shared" si="2"/>
        <v>0.99999999999988631</v>
      </c>
      <c r="I45" s="7">
        <f t="shared" si="6"/>
        <v>53.763699237493057</v>
      </c>
      <c r="J45" s="5"/>
      <c r="K45" s="3"/>
      <c r="L45" s="3"/>
    </row>
    <row r="46" spans="1:12" x14ac:dyDescent="0.25">
      <c r="A46" s="9">
        <f t="shared" si="1"/>
        <v>44</v>
      </c>
      <c r="B46" s="1">
        <f t="shared" si="7"/>
        <v>2.8421709430404007E-10</v>
      </c>
      <c r="C46" s="15">
        <f t="shared" si="4"/>
        <v>12550.01440859216</v>
      </c>
      <c r="D46" s="1">
        <f t="shared" si="5"/>
        <v>2.264675442200732E-14</v>
      </c>
      <c r="E46" s="1">
        <f t="shared" si="8"/>
        <v>2.8421709430404007E-10</v>
      </c>
      <c r="F46" s="1">
        <f>SUM(D$2:D46)</f>
        <v>21.999999999999989</v>
      </c>
      <c r="G46" s="1">
        <f>SUM($B$3:B46)</f>
        <v>4999.9999999997162</v>
      </c>
      <c r="H46" s="7">
        <f t="shared" si="2"/>
        <v>0.99999999999994327</v>
      </c>
      <c r="I46" s="7">
        <f t="shared" si="6"/>
        <v>59.24006916124236</v>
      </c>
      <c r="J46" s="5"/>
      <c r="K46" s="3"/>
      <c r="L46" s="3"/>
    </row>
    <row r="47" spans="1:12" x14ac:dyDescent="0.25">
      <c r="A47" s="9">
        <f t="shared" si="1"/>
        <v>45</v>
      </c>
      <c r="B47" s="1">
        <f t="shared" si="7"/>
        <v>1.4210854715202004E-10</v>
      </c>
      <c r="C47" s="15">
        <f t="shared" si="4"/>
        <v>13805.015849451378</v>
      </c>
      <c r="D47" s="1">
        <f t="shared" si="5"/>
        <v>1.0293979282730599E-14</v>
      </c>
      <c r="E47" s="1">
        <f t="shared" si="8"/>
        <v>1.4210854715202004E-10</v>
      </c>
      <c r="F47" s="1">
        <f>SUM(D$2:D47)</f>
        <v>22</v>
      </c>
      <c r="G47" s="1">
        <f>SUM($B$3:B47)</f>
        <v>4999.9999999998581</v>
      </c>
      <c r="H47" s="7">
        <f t="shared" si="2"/>
        <v>0.99999999999997158</v>
      </c>
      <c r="I47" s="7">
        <f t="shared" si="6"/>
        <v>65.26407607736661</v>
      </c>
      <c r="J47" s="5"/>
      <c r="K47" s="3"/>
      <c r="L47" s="3"/>
    </row>
    <row r="48" spans="1:12" x14ac:dyDescent="0.25">
      <c r="A48" s="9">
        <f t="shared" si="1"/>
        <v>46</v>
      </c>
      <c r="B48" s="1">
        <f t="shared" si="7"/>
        <v>7.1054273576010019E-11</v>
      </c>
      <c r="C48" s="15">
        <f t="shared" si="4"/>
        <v>15185.517434396517</v>
      </c>
      <c r="D48" s="1">
        <f t="shared" si="5"/>
        <v>4.6790814921502716E-15</v>
      </c>
      <c r="E48" s="1">
        <f t="shared" si="8"/>
        <v>7.1054273576010019E-11</v>
      </c>
      <c r="F48" s="1">
        <f>SUM(D$2:D48)</f>
        <v>22.000000000000004</v>
      </c>
      <c r="G48" s="1">
        <f>SUM($B$3:B48)</f>
        <v>4999.9999999999291</v>
      </c>
      <c r="H48" s="7">
        <f t="shared" si="2"/>
        <v>0.99999999999998579</v>
      </c>
      <c r="I48" s="7">
        <f t="shared" si="6"/>
        <v>71.890483685103277</v>
      </c>
      <c r="J48" s="5"/>
      <c r="K48" s="3"/>
      <c r="L48" s="3"/>
    </row>
    <row r="49" spans="1:12" x14ac:dyDescent="0.25">
      <c r="A49" s="9">
        <f t="shared" si="1"/>
        <v>47</v>
      </c>
      <c r="B49" s="1">
        <f t="shared" si="7"/>
        <v>3.5527136788005009E-11</v>
      </c>
      <c r="C49" s="15">
        <f t="shared" si="4"/>
        <v>16704.069177836169</v>
      </c>
      <c r="D49" s="1">
        <f t="shared" si="5"/>
        <v>2.1268552237046688E-15</v>
      </c>
      <c r="E49" s="1">
        <f t="shared" si="8"/>
        <v>3.5527136788005009E-11</v>
      </c>
      <c r="F49" s="1">
        <f>SUM(D$2:D49)</f>
        <v>22.000000000000007</v>
      </c>
      <c r="G49" s="1">
        <f>SUM($B$3:B49)</f>
        <v>4999.9999999999645</v>
      </c>
      <c r="H49" s="7">
        <f t="shared" si="2"/>
        <v>0.99999999999999289</v>
      </c>
      <c r="I49" s="7">
        <f t="shared" si="6"/>
        <v>79.179532053613613</v>
      </c>
      <c r="J49" s="5"/>
      <c r="K49" s="3"/>
      <c r="L49" s="3"/>
    </row>
    <row r="50" spans="1:12" x14ac:dyDescent="0.25">
      <c r="A50" s="9">
        <f t="shared" si="1"/>
        <v>48</v>
      </c>
      <c r="B50" s="1">
        <f t="shared" si="7"/>
        <v>1.7763568394002505E-11</v>
      </c>
      <c r="C50" s="15">
        <f t="shared" si="4"/>
        <v>18374.476095619786</v>
      </c>
      <c r="D50" s="1">
        <f t="shared" si="5"/>
        <v>9.667523744112131E-16</v>
      </c>
      <c r="E50" s="1">
        <f t="shared" si="8"/>
        <v>1.7763568394002505E-11</v>
      </c>
      <c r="F50" s="1">
        <f>SUM(D$2:D50)</f>
        <v>22.000000000000007</v>
      </c>
      <c r="G50" s="1">
        <f>SUM($B$3:B50)</f>
        <v>4999.9999999999827</v>
      </c>
      <c r="H50" s="7">
        <f t="shared" si="2"/>
        <v>0.99999999999999656</v>
      </c>
      <c r="I50" s="7">
        <f t="shared" si="6"/>
        <v>87.197485258974979</v>
      </c>
      <c r="J50" s="5"/>
      <c r="K50" s="3"/>
      <c r="L50" s="3"/>
    </row>
    <row r="51" spans="1:12" x14ac:dyDescent="0.25">
      <c r="A51" s="9">
        <f t="shared" si="1"/>
        <v>49</v>
      </c>
      <c r="B51" s="1">
        <f t="shared" si="7"/>
        <v>8.8817841970012523E-12</v>
      </c>
      <c r="C51" s="15">
        <f t="shared" si="4"/>
        <v>20211.923705181765</v>
      </c>
      <c r="D51" s="1">
        <f t="shared" si="5"/>
        <v>4.3943289745964231E-16</v>
      </c>
      <c r="E51" s="1">
        <f t="shared" si="8"/>
        <v>8.8817841970012523E-12</v>
      </c>
      <c r="F51" s="1">
        <f>SUM(D$2:D51)</f>
        <v>22.000000000000007</v>
      </c>
      <c r="G51" s="1">
        <f>SUM($B$3:B51)</f>
        <v>4999.9999999999918</v>
      </c>
      <c r="H51" s="7">
        <f t="shared" si="2"/>
        <v>0.99999999999999833</v>
      </c>
      <c r="I51" s="7">
        <f t="shared" si="6"/>
        <v>96.017233784872474</v>
      </c>
      <c r="J51" s="5"/>
      <c r="K51" s="3"/>
      <c r="L51" s="3"/>
    </row>
    <row r="52" spans="1:12" x14ac:dyDescent="0.25">
      <c r="A52" s="9">
        <f t="shared" si="1"/>
        <v>50</v>
      </c>
      <c r="B52" s="1">
        <f t="shared" si="7"/>
        <v>4.4408920985006262E-12</v>
      </c>
      <c r="C52" s="15">
        <f t="shared" si="4"/>
        <v>22233.116075699945</v>
      </c>
      <c r="D52" s="1">
        <f t="shared" si="5"/>
        <v>1.9974222611801919E-16</v>
      </c>
      <c r="E52" s="1">
        <f t="shared" si="8"/>
        <v>4.4408920985006262E-12</v>
      </c>
      <c r="F52" s="1">
        <f>SUM(D$2:D52)</f>
        <v>22.000000000000007</v>
      </c>
      <c r="G52" s="1">
        <f>SUM($B$3:B52)</f>
        <v>4999.9999999999964</v>
      </c>
      <c r="H52" s="7">
        <f t="shared" si="2"/>
        <v>0.99999999999999922</v>
      </c>
      <c r="I52" s="7">
        <f t="shared" si="6"/>
        <v>105.71895716335973</v>
      </c>
      <c r="J52" s="5"/>
      <c r="K52" s="3"/>
      <c r="L52" s="3"/>
    </row>
    <row r="53" spans="1:12" x14ac:dyDescent="0.25">
      <c r="A53" s="9">
        <f t="shared" si="1"/>
        <v>51</v>
      </c>
      <c r="B53" s="1">
        <f t="shared" si="7"/>
        <v>2.2204460492503131E-12</v>
      </c>
      <c r="C53" s="15">
        <f t="shared" si="4"/>
        <v>24456.427683269943</v>
      </c>
      <c r="D53" s="1">
        <f t="shared" si="5"/>
        <v>9.0791920962735985E-17</v>
      </c>
      <c r="E53" s="1">
        <f t="shared" si="8"/>
        <v>2.2204460492503131E-12</v>
      </c>
      <c r="F53" s="1">
        <f>SUM(D$2:D53)</f>
        <v>22.000000000000007</v>
      </c>
      <c r="G53" s="1">
        <f>SUM($B$3:B53)</f>
        <v>4999.9999999999982</v>
      </c>
      <c r="H53" s="7">
        <f t="shared" si="2"/>
        <v>0.99999999999999967</v>
      </c>
      <c r="I53" s="7">
        <f t="shared" si="6"/>
        <v>116.39085287969573</v>
      </c>
      <c r="J53" s="5"/>
      <c r="K53" s="3"/>
      <c r="L53" s="3"/>
    </row>
    <row r="54" spans="1:12" x14ac:dyDescent="0.25">
      <c r="A54" s="9">
        <f t="shared" si="1"/>
        <v>52</v>
      </c>
      <c r="B54" s="1">
        <f t="shared" si="7"/>
        <v>1.1102230246251565E-12</v>
      </c>
      <c r="C54" s="15">
        <f t="shared" si="4"/>
        <v>26902.070451596941</v>
      </c>
      <c r="D54" s="1">
        <f t="shared" si="5"/>
        <v>4.1269054983061807E-17</v>
      </c>
      <c r="E54" s="1">
        <f t="shared" si="8"/>
        <v>1.1102230246251565E-12</v>
      </c>
      <c r="F54" s="1">
        <f>SUM(D$2:D54)</f>
        <v>22.000000000000007</v>
      </c>
      <c r="G54" s="1">
        <f>SUM($B$3:B54)</f>
        <v>4999.9999999999991</v>
      </c>
      <c r="H54" s="7">
        <f t="shared" si="2"/>
        <v>0.99999999999999978</v>
      </c>
      <c r="I54" s="7">
        <f t="shared" si="6"/>
        <v>128.12993816766533</v>
      </c>
      <c r="J54" s="5"/>
      <c r="K54" s="3"/>
      <c r="L54" s="3"/>
    </row>
    <row r="55" spans="1:12" x14ac:dyDescent="0.25">
      <c r="A55" s="9">
        <f t="shared" si="1"/>
        <v>53</v>
      </c>
      <c r="B55" s="1">
        <f t="shared" si="7"/>
        <v>5.5511151231257827E-13</v>
      </c>
      <c r="C55" s="15">
        <f t="shared" si="4"/>
        <v>29592.277496756637</v>
      </c>
      <c r="D55" s="1">
        <f t="shared" si="5"/>
        <v>1.8758661355937184E-17</v>
      </c>
      <c r="E55" s="1">
        <f t="shared" si="8"/>
        <v>5.5511151231257827E-13</v>
      </c>
      <c r="F55" s="1">
        <f>SUM(D$2:D55)</f>
        <v>22.000000000000007</v>
      </c>
      <c r="G55" s="1">
        <f>SUM($B$3:B55)</f>
        <v>5000</v>
      </c>
      <c r="H55" s="7">
        <f t="shared" si="2"/>
        <v>1</v>
      </c>
      <c r="I55" s="7">
        <f t="shared" si="6"/>
        <v>141.04293198443185</v>
      </c>
      <c r="J55" s="5"/>
      <c r="K55" s="3"/>
      <c r="L55" s="3"/>
    </row>
    <row r="56" spans="1:12" x14ac:dyDescent="0.25">
      <c r="A56" s="9">
        <f t="shared" si="1"/>
        <v>54</v>
      </c>
      <c r="B56" s="1">
        <f t="shared" si="7"/>
        <v>2.7755575615628914E-13</v>
      </c>
      <c r="C56" s="15">
        <f t="shared" si="4"/>
        <v>32551.505246432302</v>
      </c>
      <c r="D56" s="1">
        <f t="shared" si="5"/>
        <v>8.5266642526987197E-18</v>
      </c>
      <c r="E56" s="1">
        <f t="shared" si="8"/>
        <v>2.7755575615628914E-13</v>
      </c>
      <c r="F56" s="1">
        <f>SUM(D$2:D56)</f>
        <v>22.000000000000007</v>
      </c>
      <c r="G56" s="1">
        <f>SUM($B$3:B56)</f>
        <v>5000</v>
      </c>
      <c r="H56" s="7">
        <f t="shared" si="2"/>
        <v>1</v>
      </c>
      <c r="I56" s="7">
        <f t="shared" si="6"/>
        <v>155.24722518287504</v>
      </c>
      <c r="J56" s="5"/>
      <c r="K56" s="3"/>
      <c r="L56" s="3"/>
    </row>
    <row r="57" spans="1:12" x14ac:dyDescent="0.25">
      <c r="A57" s="9">
        <f t="shared" si="1"/>
        <v>55</v>
      </c>
      <c r="B57" s="1">
        <f t="shared" si="7"/>
        <v>1.3877787807814457E-13</v>
      </c>
      <c r="C57" s="15">
        <f t="shared" si="4"/>
        <v>35806.655771075537</v>
      </c>
      <c r="D57" s="1">
        <f t="shared" si="5"/>
        <v>3.8757564784994176E-18</v>
      </c>
      <c r="E57" s="1">
        <f t="shared" si="8"/>
        <v>1.3877787807814457E-13</v>
      </c>
      <c r="F57" s="1">
        <f>SUM(D$2:D57)</f>
        <v>22.000000000000007</v>
      </c>
      <c r="G57" s="1">
        <f>SUM($B$3:B57)</f>
        <v>5000</v>
      </c>
      <c r="H57" s="7">
        <f t="shared" si="2"/>
        <v>1</v>
      </c>
      <c r="I57" s="7">
        <f t="shared" si="6"/>
        <v>170.87194770116255</v>
      </c>
      <c r="J57" s="5"/>
      <c r="K57" s="3"/>
      <c r="L57" s="3"/>
    </row>
    <row r="58" spans="1:12" x14ac:dyDescent="0.25">
      <c r="A58" s="9">
        <f t="shared" si="1"/>
        <v>56</v>
      </c>
      <c r="B58" s="1">
        <f t="shared" si="7"/>
        <v>6.9388939039072284E-14</v>
      </c>
      <c r="C58" s="15">
        <f t="shared" si="4"/>
        <v>39387.321348183097</v>
      </c>
      <c r="D58" s="1">
        <f t="shared" si="5"/>
        <v>1.7617074902270078E-18</v>
      </c>
      <c r="E58" s="1">
        <f t="shared" si="8"/>
        <v>6.9388939039072284E-14</v>
      </c>
      <c r="F58" s="1">
        <f>SUM(D$2:D58)</f>
        <v>22.000000000000007</v>
      </c>
      <c r="G58" s="1">
        <f>SUM($B$3:B58)</f>
        <v>5000</v>
      </c>
      <c r="H58" s="7">
        <f t="shared" si="2"/>
        <v>1</v>
      </c>
      <c r="I58" s="7">
        <f t="shared" si="6"/>
        <v>188.05914247127885</v>
      </c>
      <c r="J58" s="5"/>
      <c r="K58" s="3"/>
      <c r="L58" s="3"/>
    </row>
    <row r="59" spans="1:12" x14ac:dyDescent="0.25">
      <c r="A59" s="9">
        <f t="shared" si="1"/>
        <v>57</v>
      </c>
      <c r="B59" s="1">
        <f t="shared" si="7"/>
        <v>3.4694469519536142E-14</v>
      </c>
      <c r="C59" s="15">
        <f t="shared" si="4"/>
        <v>43326.053483001408</v>
      </c>
      <c r="D59" s="1">
        <f t="shared" si="5"/>
        <v>8.0077613192136708E-19</v>
      </c>
      <c r="E59" s="1">
        <f t="shared" si="8"/>
        <v>3.4694469519536142E-14</v>
      </c>
      <c r="F59" s="1">
        <f>SUM(D$2:D59)</f>
        <v>22.000000000000007</v>
      </c>
      <c r="G59" s="1">
        <f>SUM($B$3:B59)</f>
        <v>5000</v>
      </c>
      <c r="H59" s="7">
        <f t="shared" si="2"/>
        <v>1</v>
      </c>
      <c r="I59" s="7">
        <f t="shared" si="6"/>
        <v>206.96505671840674</v>
      </c>
      <c r="J59" s="5"/>
      <c r="K59" s="3"/>
      <c r="L59" s="3"/>
    </row>
    <row r="60" spans="1:12" x14ac:dyDescent="0.25">
      <c r="A60" s="9">
        <f t="shared" si="1"/>
        <v>58</v>
      </c>
      <c r="B60" s="1">
        <f t="shared" si="7"/>
        <v>1.7347234759768071E-14</v>
      </c>
      <c r="C60" s="15">
        <f t="shared" si="4"/>
        <v>47658.658831301553</v>
      </c>
      <c r="D60" s="1">
        <f t="shared" si="5"/>
        <v>3.6398915087334863E-19</v>
      </c>
      <c r="E60" s="1">
        <f t="shared" si="8"/>
        <v>1.7347234759768071E-14</v>
      </c>
      <c r="F60" s="1">
        <f>SUM(D$2:D60)</f>
        <v>22.000000000000007</v>
      </c>
      <c r="G60" s="1">
        <f>SUM($B$3:B60)</f>
        <v>5000</v>
      </c>
      <c r="H60" s="7">
        <f t="shared" si="2"/>
        <v>1</v>
      </c>
      <c r="I60" s="7">
        <f t="shared" si="6"/>
        <v>227.76156239024743</v>
      </c>
      <c r="J60" s="5"/>
      <c r="K60" s="3"/>
      <c r="L60" s="3"/>
    </row>
    <row r="61" spans="1:12" x14ac:dyDescent="0.25">
      <c r="A61" s="9">
        <f t="shared" si="1"/>
        <v>59</v>
      </c>
      <c r="B61" s="1">
        <f t="shared" si="7"/>
        <v>8.6736173798840355E-15</v>
      </c>
      <c r="C61" s="15">
        <f t="shared" si="4"/>
        <v>52424.524714431711</v>
      </c>
      <c r="D61" s="1">
        <f t="shared" si="5"/>
        <v>1.6544961403334029E-19</v>
      </c>
      <c r="E61" s="1">
        <f t="shared" si="8"/>
        <v>8.6736173798840355E-15</v>
      </c>
      <c r="F61" s="1">
        <f>SUM(D$2:D61)</f>
        <v>22.000000000000007</v>
      </c>
      <c r="G61" s="1">
        <f>SUM($B$3:B61)</f>
        <v>5000</v>
      </c>
      <c r="H61" s="7">
        <f t="shared" si="2"/>
        <v>1</v>
      </c>
      <c r="I61" s="7">
        <f t="shared" si="6"/>
        <v>250.6377186292722</v>
      </c>
      <c r="J61" s="5"/>
      <c r="K61" s="3"/>
      <c r="L61" s="3"/>
    </row>
    <row r="62" spans="1:12" x14ac:dyDescent="0.25">
      <c r="A62" s="9">
        <f t="shared" si="1"/>
        <v>60</v>
      </c>
      <c r="B62" s="1">
        <f t="shared" si="7"/>
        <v>4.3368086899420177E-15</v>
      </c>
      <c r="C62" s="15">
        <f t="shared" si="4"/>
        <v>57666.977185874886</v>
      </c>
      <c r="D62" s="1">
        <f t="shared" si="5"/>
        <v>7.5204370015154669E-20</v>
      </c>
      <c r="E62" s="1">
        <f t="shared" si="8"/>
        <v>4.3368086899420177E-15</v>
      </c>
      <c r="F62" s="1">
        <f>SUM(D$2:D62)</f>
        <v>22.000000000000007</v>
      </c>
      <c r="G62" s="1">
        <f>SUM($B$3:B62)</f>
        <v>5000</v>
      </c>
      <c r="H62" s="7">
        <f t="shared" si="2"/>
        <v>1</v>
      </c>
      <c r="I62" s="7">
        <f t="shared" si="6"/>
        <v>275.80149049219943</v>
      </c>
      <c r="J62" s="5"/>
      <c r="K62" s="3"/>
      <c r="L62" s="3"/>
    </row>
    <row r="63" spans="1:12" x14ac:dyDescent="0.25">
      <c r="A63" s="9">
        <f t="shared" si="1"/>
        <v>61</v>
      </c>
      <c r="B63" s="1">
        <f t="shared" si="7"/>
        <v>2.1684043449710089E-15</v>
      </c>
      <c r="C63" s="15">
        <f t="shared" si="4"/>
        <v>63433.674904462379</v>
      </c>
      <c r="D63" s="1">
        <f t="shared" si="5"/>
        <v>3.4183804552343029E-20</v>
      </c>
      <c r="E63" s="1">
        <f t="shared" si="8"/>
        <v>2.1684043449710089E-15</v>
      </c>
      <c r="F63" s="1">
        <f>SUM(D$2:D63)</f>
        <v>22.000000000000007</v>
      </c>
      <c r="G63" s="1">
        <f>SUM($B$3:B63)</f>
        <v>5000</v>
      </c>
      <c r="H63" s="7">
        <f t="shared" si="2"/>
        <v>1</v>
      </c>
      <c r="I63" s="7">
        <f t="shared" si="6"/>
        <v>303.48163954141938</v>
      </c>
      <c r="J63" s="5"/>
      <c r="K63" s="3"/>
      <c r="L63" s="3"/>
    </row>
    <row r="64" spans="1:12" x14ac:dyDescent="0.25">
      <c r="A64" s="9">
        <f t="shared" si="1"/>
        <v>62</v>
      </c>
      <c r="B64" s="1">
        <f t="shared" si="7"/>
        <v>1.0842021724855044E-15</v>
      </c>
      <c r="C64" s="15">
        <f t="shared" si="4"/>
        <v>69777.042394908625</v>
      </c>
      <c r="D64" s="1">
        <f t="shared" si="5"/>
        <v>1.553809297833774E-20</v>
      </c>
      <c r="E64" s="1">
        <f t="shared" si="8"/>
        <v>1.0842021724855044E-15</v>
      </c>
      <c r="F64" s="1">
        <f>SUM(D$2:D64)</f>
        <v>22.000000000000007</v>
      </c>
      <c r="G64" s="1">
        <f>SUM($B$3:B64)</f>
        <v>5000</v>
      </c>
      <c r="H64" s="7">
        <f t="shared" si="2"/>
        <v>1</v>
      </c>
      <c r="I64" s="7">
        <f t="shared" si="6"/>
        <v>333.92980349556143</v>
      </c>
      <c r="J64" s="5"/>
      <c r="K64" s="3"/>
      <c r="L64" s="3"/>
    </row>
    <row r="65" spans="1:12" x14ac:dyDescent="0.25">
      <c r="A65" s="9">
        <f t="shared" si="1"/>
        <v>63</v>
      </c>
      <c r="B65" s="1">
        <f t="shared" si="7"/>
        <v>5.4210108624275222E-16</v>
      </c>
      <c r="C65" s="15">
        <f t="shared" si="4"/>
        <v>76754.746634399489</v>
      </c>
      <c r="D65" s="1">
        <f t="shared" si="5"/>
        <v>7.0627695356080625E-21</v>
      </c>
      <c r="E65" s="1">
        <f t="shared" si="8"/>
        <v>5.4210108624275222E-16</v>
      </c>
      <c r="F65" s="1">
        <f>SUM(D$2:D65)</f>
        <v>22.000000000000007</v>
      </c>
      <c r="G65" s="1">
        <f>SUM($B$3:B65)</f>
        <v>5000</v>
      </c>
      <c r="H65" s="7">
        <f t="shared" si="2"/>
        <v>1</v>
      </c>
      <c r="I65" s="7">
        <f t="shared" si="6"/>
        <v>367.42278384511758</v>
      </c>
      <c r="J65" s="5"/>
      <c r="K65" s="3"/>
      <c r="L65" s="3"/>
    </row>
    <row r="66" spans="1:12" x14ac:dyDescent="0.25">
      <c r="A66" s="9">
        <f t="shared" si="1"/>
        <v>64</v>
      </c>
      <c r="B66" s="1">
        <f t="shared" si="7"/>
        <v>2.7105054312137611E-16</v>
      </c>
      <c r="C66" s="15">
        <f t="shared" si="4"/>
        <v>84430.221297839438</v>
      </c>
      <c r="D66" s="1">
        <f t="shared" si="5"/>
        <v>3.2103497889127561E-21</v>
      </c>
      <c r="E66" s="1">
        <f t="shared" si="8"/>
        <v>2.7105054312137611E-16</v>
      </c>
      <c r="F66" s="1">
        <f>SUM(D$2:D66)</f>
        <v>22.000000000000007</v>
      </c>
      <c r="G66" s="1">
        <f>SUM($B$3:B66)</f>
        <v>5000</v>
      </c>
      <c r="H66" s="7">
        <f t="shared" si="2"/>
        <v>1</v>
      </c>
      <c r="I66" s="7">
        <f t="shared" si="6"/>
        <v>404.26506222962934</v>
      </c>
      <c r="J66" s="5"/>
      <c r="K66" s="3"/>
      <c r="L66" s="3"/>
    </row>
    <row r="67" spans="1:12" x14ac:dyDescent="0.25">
      <c r="A67" s="9">
        <f t="shared" si="1"/>
        <v>65</v>
      </c>
      <c r="B67" s="1">
        <f t="shared" si="7"/>
        <v>1.3552527156068805E-16</v>
      </c>
      <c r="C67" s="15">
        <f t="shared" si="4"/>
        <v>92873.243427623383</v>
      </c>
      <c r="D67" s="1">
        <f t="shared" si="5"/>
        <v>1.4592499040512526E-21</v>
      </c>
      <c r="E67" s="1">
        <f t="shared" ref="E67:E102" si="9">B66-B67</f>
        <v>1.3552527156068805E-16</v>
      </c>
      <c r="F67" s="1">
        <f>SUM(D$2:D67)</f>
        <v>22.000000000000007</v>
      </c>
      <c r="G67" s="1">
        <f>SUM($B$3:B67)</f>
        <v>5000</v>
      </c>
      <c r="H67" s="7">
        <f t="shared" si="2"/>
        <v>1</v>
      </c>
      <c r="I67" s="7">
        <f t="shared" si="6"/>
        <v>444.79156845259223</v>
      </c>
      <c r="J67" s="5"/>
      <c r="K67" s="3"/>
      <c r="L67" s="3"/>
    </row>
    <row r="68" spans="1:12" x14ac:dyDescent="0.25">
      <c r="A68" s="9">
        <f t="shared" ref="A68:A101" si="10">A67+1</f>
        <v>66</v>
      </c>
      <c r="B68" s="1">
        <f t="shared" si="7"/>
        <v>6.7762635780344027E-17</v>
      </c>
      <c r="C68" s="15">
        <f t="shared" si="4"/>
        <v>102160.56777038574</v>
      </c>
      <c r="D68" s="1">
        <f t="shared" si="5"/>
        <v>6.6329541093238751E-22</v>
      </c>
      <c r="E68" s="1">
        <f t="shared" si="9"/>
        <v>6.7762635780344027E-17</v>
      </c>
      <c r="F68" s="1">
        <f>SUM(D$2:D68)</f>
        <v>22.000000000000007</v>
      </c>
      <c r="G68" s="1">
        <f>SUM($B$3:B68)</f>
        <v>5000</v>
      </c>
      <c r="H68" s="7">
        <f t="shared" ref="H68:H102" si="11">G68/$B$2</f>
        <v>1</v>
      </c>
      <c r="I68" s="7">
        <f t="shared" si="6"/>
        <v>489.37072529785155</v>
      </c>
      <c r="J68" s="5"/>
      <c r="K68" s="3"/>
      <c r="L68" s="3"/>
    </row>
    <row r="69" spans="1:12" x14ac:dyDescent="0.25">
      <c r="A69" s="9">
        <f t="shared" si="10"/>
        <v>67</v>
      </c>
      <c r="B69" s="1">
        <f t="shared" si="7"/>
        <v>3.3881317890172014E-17</v>
      </c>
      <c r="C69" s="15">
        <f t="shared" ref="C69:C101" si="12">C68*1.1</f>
        <v>112376.62454742432</v>
      </c>
      <c r="D69" s="1">
        <f t="shared" ref="D69:D101" si="13">B69/C69</f>
        <v>3.014979140601761E-22</v>
      </c>
      <c r="E69" s="1">
        <f t="shared" si="9"/>
        <v>3.3881317890172014E-17</v>
      </c>
      <c r="F69" s="1">
        <f>SUM(D$2:D69)</f>
        <v>22.000000000000007</v>
      </c>
      <c r="G69" s="1">
        <f>SUM($B$3:B69)</f>
        <v>5000</v>
      </c>
      <c r="H69" s="7">
        <f t="shared" si="11"/>
        <v>1</v>
      </c>
      <c r="I69" s="7">
        <f t="shared" si="6"/>
        <v>538.40779782763673</v>
      </c>
      <c r="J69" s="5"/>
      <c r="K69" s="3"/>
      <c r="L69" s="3"/>
    </row>
    <row r="70" spans="1:12" x14ac:dyDescent="0.25">
      <c r="A70" s="9">
        <f t="shared" si="10"/>
        <v>68</v>
      </c>
      <c r="B70" s="1">
        <f t="shared" si="7"/>
        <v>1.6940658945086007E-17</v>
      </c>
      <c r="C70" s="15">
        <f t="shared" si="12"/>
        <v>123614.28700216676</v>
      </c>
      <c r="D70" s="1">
        <f t="shared" si="13"/>
        <v>1.3704450639098912E-22</v>
      </c>
      <c r="E70" s="1">
        <f t="shared" si="9"/>
        <v>1.6940658945086007E-17</v>
      </c>
      <c r="F70" s="1">
        <f>SUM(D$2:D70)</f>
        <v>22.000000000000007</v>
      </c>
      <c r="G70" s="1">
        <f>SUM($B$3:B70)</f>
        <v>5000</v>
      </c>
      <c r="H70" s="7">
        <f t="shared" si="11"/>
        <v>1</v>
      </c>
      <c r="I70" s="7">
        <f t="shared" ref="I70:I102" si="14">(C70-$C$3)/$C$3</f>
        <v>592.34857761040041</v>
      </c>
      <c r="J70" s="5"/>
      <c r="K70" s="3"/>
      <c r="L70" s="3"/>
    </row>
    <row r="71" spans="1:12" x14ac:dyDescent="0.25">
      <c r="A71" s="9">
        <f t="shared" si="10"/>
        <v>69</v>
      </c>
      <c r="B71" s="1">
        <f t="shared" si="7"/>
        <v>8.4703294725430034E-18</v>
      </c>
      <c r="C71" s="15">
        <f t="shared" si="12"/>
        <v>135975.71570238346</v>
      </c>
      <c r="D71" s="1">
        <f t="shared" si="13"/>
        <v>6.2292957450449594E-23</v>
      </c>
      <c r="E71" s="1">
        <f t="shared" si="9"/>
        <v>8.4703294725430034E-18</v>
      </c>
      <c r="F71" s="1">
        <f>SUM(D$2:D71)</f>
        <v>22.000000000000007</v>
      </c>
      <c r="G71" s="1">
        <f>SUM($B$3:B71)</f>
        <v>5000</v>
      </c>
      <c r="H71" s="7">
        <f t="shared" si="11"/>
        <v>1</v>
      </c>
      <c r="I71" s="7">
        <f t="shared" si="14"/>
        <v>651.68343537144051</v>
      </c>
      <c r="J71" s="5"/>
      <c r="K71" s="3"/>
      <c r="L71" s="3"/>
    </row>
    <row r="72" spans="1:12" x14ac:dyDescent="0.25">
      <c r="A72" s="9">
        <f t="shared" si="10"/>
        <v>70</v>
      </c>
      <c r="B72" s="1">
        <f t="shared" si="7"/>
        <v>4.2351647362715017E-18</v>
      </c>
      <c r="C72" s="15">
        <f t="shared" si="12"/>
        <v>149573.28727262182</v>
      </c>
      <c r="D72" s="1">
        <f t="shared" si="13"/>
        <v>2.8314980659295267E-23</v>
      </c>
      <c r="E72" s="1">
        <f t="shared" si="9"/>
        <v>4.2351647362715017E-18</v>
      </c>
      <c r="F72" s="1">
        <f>SUM(D$2:D72)</f>
        <v>22.000000000000007</v>
      </c>
      <c r="G72" s="1">
        <f>SUM($B$3:B72)</f>
        <v>5000</v>
      </c>
      <c r="H72" s="7">
        <f t="shared" si="11"/>
        <v>1</v>
      </c>
      <c r="I72" s="7">
        <f t="shared" si="14"/>
        <v>716.95177890858463</v>
      </c>
      <c r="J72" s="5"/>
      <c r="K72" s="3"/>
      <c r="L72" s="3"/>
    </row>
    <row r="73" spans="1:12" x14ac:dyDescent="0.25">
      <c r="A73" s="9">
        <f t="shared" si="10"/>
        <v>71</v>
      </c>
      <c r="B73" s="1">
        <f t="shared" si="7"/>
        <v>2.1175823681357508E-18</v>
      </c>
      <c r="C73" s="15">
        <f t="shared" si="12"/>
        <v>164530.615999884</v>
      </c>
      <c r="D73" s="1">
        <f t="shared" si="13"/>
        <v>1.2870445754225122E-23</v>
      </c>
      <c r="E73" s="1">
        <f t="shared" si="9"/>
        <v>2.1175823681357508E-18</v>
      </c>
      <c r="F73" s="1">
        <f>SUM(D$2:D73)</f>
        <v>22.000000000000007</v>
      </c>
      <c r="G73" s="1">
        <f>SUM($B$3:B73)</f>
        <v>5000</v>
      </c>
      <c r="H73" s="7">
        <f t="shared" si="11"/>
        <v>1</v>
      </c>
      <c r="I73" s="7">
        <f t="shared" si="14"/>
        <v>788.74695679944307</v>
      </c>
      <c r="J73" s="5"/>
      <c r="K73" s="3"/>
      <c r="L73" s="3"/>
    </row>
    <row r="74" spans="1:12" x14ac:dyDescent="0.25">
      <c r="A74" s="9">
        <f t="shared" si="10"/>
        <v>72</v>
      </c>
      <c r="B74" s="1">
        <f t="shared" si="7"/>
        <v>1.0587911840678754E-18</v>
      </c>
      <c r="C74" s="15">
        <f t="shared" si="12"/>
        <v>180983.6775998724</v>
      </c>
      <c r="D74" s="1">
        <f t="shared" si="13"/>
        <v>5.850202615556873E-24</v>
      </c>
      <c r="E74" s="1">
        <f t="shared" si="9"/>
        <v>1.0587911840678754E-18</v>
      </c>
      <c r="F74" s="1">
        <f>SUM(D$2:D74)</f>
        <v>22.000000000000007</v>
      </c>
      <c r="G74" s="1">
        <f>SUM($B$3:B74)</f>
        <v>5000</v>
      </c>
      <c r="H74" s="7">
        <f t="shared" si="11"/>
        <v>1</v>
      </c>
      <c r="I74" s="7">
        <f t="shared" si="14"/>
        <v>867.72165247938744</v>
      </c>
      <c r="J74" s="5"/>
      <c r="K74" s="3"/>
      <c r="L74" s="3"/>
    </row>
    <row r="75" spans="1:12" x14ac:dyDescent="0.25">
      <c r="A75" s="9">
        <f t="shared" si="10"/>
        <v>73</v>
      </c>
      <c r="B75" s="1">
        <f t="shared" si="7"/>
        <v>5.2939559203393771E-19</v>
      </c>
      <c r="C75" s="15">
        <f t="shared" si="12"/>
        <v>199082.04535985965</v>
      </c>
      <c r="D75" s="1">
        <f t="shared" si="13"/>
        <v>2.6591830070713059E-24</v>
      </c>
      <c r="E75" s="1">
        <f t="shared" si="9"/>
        <v>5.2939559203393771E-19</v>
      </c>
      <c r="F75" s="1">
        <f>SUM(D$2:D75)</f>
        <v>22.000000000000007</v>
      </c>
      <c r="G75" s="1">
        <f>SUM($B$3:B75)</f>
        <v>5000</v>
      </c>
      <c r="H75" s="7">
        <f t="shared" si="11"/>
        <v>1</v>
      </c>
      <c r="I75" s="7">
        <f t="shared" si="14"/>
        <v>954.59381772732627</v>
      </c>
      <c r="J75" s="5"/>
      <c r="K75" s="3"/>
      <c r="L75" s="3"/>
    </row>
    <row r="76" spans="1:12" x14ac:dyDescent="0.25">
      <c r="A76" s="9">
        <f t="shared" si="10"/>
        <v>74</v>
      </c>
      <c r="B76" s="1">
        <f t="shared" si="7"/>
        <v>2.6469779601696886E-19</v>
      </c>
      <c r="C76" s="15">
        <f t="shared" si="12"/>
        <v>218990.24989584563</v>
      </c>
      <c r="D76" s="1">
        <f t="shared" si="13"/>
        <v>1.2087195486687754E-24</v>
      </c>
      <c r="E76" s="1">
        <f t="shared" si="9"/>
        <v>2.6469779601696886E-19</v>
      </c>
      <c r="F76" s="1">
        <f>SUM(D$2:D76)</f>
        <v>22.000000000000007</v>
      </c>
      <c r="G76" s="1">
        <f>SUM($B$3:B76)</f>
        <v>5000</v>
      </c>
      <c r="H76" s="7">
        <f t="shared" si="11"/>
        <v>1</v>
      </c>
      <c r="I76" s="7">
        <f t="shared" si="14"/>
        <v>1050.1531995000589</v>
      </c>
      <c r="J76" s="5"/>
      <c r="K76" s="3"/>
      <c r="L76" s="3"/>
    </row>
    <row r="77" spans="1:12" x14ac:dyDescent="0.25">
      <c r="A77" s="9">
        <f t="shared" si="10"/>
        <v>75</v>
      </c>
      <c r="B77" s="1">
        <f t="shared" si="7"/>
        <v>1.3234889800848443E-19</v>
      </c>
      <c r="C77" s="15">
        <f t="shared" si="12"/>
        <v>240889.2748854302</v>
      </c>
      <c r="D77" s="1">
        <f t="shared" si="13"/>
        <v>5.4941797666762508E-25</v>
      </c>
      <c r="E77" s="1">
        <f t="shared" si="9"/>
        <v>1.3234889800848443E-19</v>
      </c>
      <c r="F77" s="1">
        <f>SUM(D$2:D77)</f>
        <v>22.000000000000007</v>
      </c>
      <c r="G77" s="1">
        <f>SUM($B$3:B77)</f>
        <v>5000</v>
      </c>
      <c r="H77" s="7">
        <f t="shared" si="11"/>
        <v>1</v>
      </c>
      <c r="I77" s="7">
        <f t="shared" si="14"/>
        <v>1155.2685194500648</v>
      </c>
      <c r="J77" s="5"/>
      <c r="K77" s="3"/>
      <c r="L77" s="3"/>
    </row>
    <row r="78" spans="1:12" x14ac:dyDescent="0.25">
      <c r="A78" s="9">
        <f t="shared" si="10"/>
        <v>76</v>
      </c>
      <c r="B78" s="1">
        <f t="shared" si="7"/>
        <v>6.6174449004242214E-20</v>
      </c>
      <c r="C78" s="15">
        <f t="shared" si="12"/>
        <v>264978.20237397327</v>
      </c>
      <c r="D78" s="1">
        <f t="shared" si="13"/>
        <v>2.4973544393982958E-25</v>
      </c>
      <c r="E78" s="1">
        <f t="shared" si="9"/>
        <v>6.6174449004242214E-20</v>
      </c>
      <c r="F78" s="1">
        <f>SUM(D$2:D78)</f>
        <v>22.000000000000007</v>
      </c>
      <c r="G78" s="1">
        <f>SUM($B$3:B78)</f>
        <v>5000</v>
      </c>
      <c r="H78" s="7">
        <f t="shared" si="11"/>
        <v>1</v>
      </c>
      <c r="I78" s="7">
        <f t="shared" si="14"/>
        <v>1270.8953713950718</v>
      </c>
      <c r="J78" s="5"/>
      <c r="K78" s="3"/>
      <c r="L78" s="3"/>
    </row>
    <row r="79" spans="1:12" x14ac:dyDescent="0.25">
      <c r="A79" s="9">
        <f t="shared" si="10"/>
        <v>77</v>
      </c>
      <c r="B79" s="1">
        <f t="shared" si="7"/>
        <v>3.3087224502121107E-20</v>
      </c>
      <c r="C79" s="15">
        <f t="shared" si="12"/>
        <v>291476.0226113706</v>
      </c>
      <c r="D79" s="1">
        <f t="shared" si="13"/>
        <v>1.1351611088174072E-25</v>
      </c>
      <c r="E79" s="1">
        <f t="shared" si="9"/>
        <v>3.3087224502121107E-20</v>
      </c>
      <c r="F79" s="1">
        <f>SUM(D$2:D79)</f>
        <v>22.000000000000007</v>
      </c>
      <c r="G79" s="1">
        <f>SUM($B$3:B79)</f>
        <v>5000</v>
      </c>
      <c r="H79" s="7">
        <f t="shared" si="11"/>
        <v>1</v>
      </c>
      <c r="I79" s="7">
        <f t="shared" si="14"/>
        <v>1398.084908534579</v>
      </c>
      <c r="J79" s="5"/>
      <c r="K79" s="3"/>
      <c r="L79" s="3"/>
    </row>
    <row r="80" spans="1:12" x14ac:dyDescent="0.25">
      <c r="A80" s="9">
        <f t="shared" si="10"/>
        <v>78</v>
      </c>
      <c r="B80" s="1">
        <f t="shared" si="7"/>
        <v>1.6543612251060553E-20</v>
      </c>
      <c r="C80" s="15">
        <f t="shared" si="12"/>
        <v>320623.6248725077</v>
      </c>
      <c r="D80" s="1">
        <f t="shared" si="13"/>
        <v>5.1598232218973041E-26</v>
      </c>
      <c r="E80" s="1">
        <f t="shared" si="9"/>
        <v>1.6543612251060553E-20</v>
      </c>
      <c r="F80" s="1">
        <f>SUM(D$2:D80)</f>
        <v>22.000000000000007</v>
      </c>
      <c r="G80" s="1">
        <f>SUM($B$3:B80)</f>
        <v>5000</v>
      </c>
      <c r="H80" s="7">
        <f t="shared" si="11"/>
        <v>1</v>
      </c>
      <c r="I80" s="7">
        <f t="shared" si="14"/>
        <v>1537.993399388037</v>
      </c>
      <c r="J80" s="5"/>
      <c r="K80" s="3"/>
      <c r="L80" s="3"/>
    </row>
    <row r="81" spans="1:12" x14ac:dyDescent="0.25">
      <c r="A81" s="9">
        <f t="shared" si="10"/>
        <v>79</v>
      </c>
      <c r="B81" s="1">
        <f t="shared" si="7"/>
        <v>8.2718061255302767E-21</v>
      </c>
      <c r="C81" s="15">
        <f t="shared" si="12"/>
        <v>352685.98735975852</v>
      </c>
      <c r="D81" s="1">
        <f t="shared" si="13"/>
        <v>2.3453741917715015E-26</v>
      </c>
      <c r="E81" s="1">
        <f t="shared" si="9"/>
        <v>8.2718061255302767E-21</v>
      </c>
      <c r="F81" s="1">
        <f>SUM(D$2:D81)</f>
        <v>22.000000000000007</v>
      </c>
      <c r="G81" s="1">
        <f>SUM($B$3:B81)</f>
        <v>5000</v>
      </c>
      <c r="H81" s="7">
        <f t="shared" si="11"/>
        <v>1</v>
      </c>
      <c r="I81" s="7">
        <f t="shared" si="14"/>
        <v>1691.8927393268409</v>
      </c>
      <c r="J81" s="5"/>
      <c r="K81" s="3"/>
      <c r="L81" s="3"/>
    </row>
    <row r="82" spans="1:12" x14ac:dyDescent="0.25">
      <c r="A82" s="9">
        <f t="shared" si="10"/>
        <v>80</v>
      </c>
      <c r="B82" s="1">
        <f t="shared" si="7"/>
        <v>4.1359030627651384E-21</v>
      </c>
      <c r="C82" s="15">
        <f t="shared" si="12"/>
        <v>387954.58609573438</v>
      </c>
      <c r="D82" s="1">
        <f t="shared" si="13"/>
        <v>1.0660791780779552E-26</v>
      </c>
      <c r="E82" s="1">
        <f t="shared" si="9"/>
        <v>4.1359030627651384E-21</v>
      </c>
      <c r="F82" s="1">
        <f>SUM(D$2:D82)</f>
        <v>22.000000000000007</v>
      </c>
      <c r="G82" s="1">
        <f>SUM($B$3:B82)</f>
        <v>5000</v>
      </c>
      <c r="H82" s="7">
        <f t="shared" si="11"/>
        <v>1</v>
      </c>
      <c r="I82" s="7">
        <f t="shared" si="14"/>
        <v>1861.1820132595251</v>
      </c>
      <c r="J82" s="5"/>
      <c r="K82" s="3"/>
      <c r="L82" s="3"/>
    </row>
    <row r="83" spans="1:12" x14ac:dyDescent="0.25">
      <c r="A83" s="9">
        <f t="shared" si="10"/>
        <v>81</v>
      </c>
      <c r="B83" s="1">
        <f t="shared" si="7"/>
        <v>2.0679515313825692E-21</v>
      </c>
      <c r="C83" s="15">
        <f t="shared" si="12"/>
        <v>426750.04470530787</v>
      </c>
      <c r="D83" s="1">
        <f t="shared" si="13"/>
        <v>4.8458144458088868E-27</v>
      </c>
      <c r="E83" s="1">
        <f t="shared" si="9"/>
        <v>2.0679515313825692E-21</v>
      </c>
      <c r="F83" s="1">
        <f>SUM(D$2:D83)</f>
        <v>22.000000000000007</v>
      </c>
      <c r="G83" s="1">
        <f>SUM($B$3:B83)</f>
        <v>5000</v>
      </c>
      <c r="H83" s="7">
        <f t="shared" si="11"/>
        <v>1</v>
      </c>
      <c r="I83" s="7">
        <f t="shared" si="14"/>
        <v>2047.4002145854777</v>
      </c>
      <c r="J83" s="5"/>
      <c r="K83" s="3"/>
      <c r="L83" s="3"/>
    </row>
    <row r="84" spans="1:12" x14ac:dyDescent="0.25">
      <c r="A84" s="9">
        <f t="shared" si="10"/>
        <v>82</v>
      </c>
      <c r="B84" s="1">
        <f t="shared" si="7"/>
        <v>1.0339757656912846E-21</v>
      </c>
      <c r="C84" s="15">
        <f t="shared" si="12"/>
        <v>469425.04917583871</v>
      </c>
      <c r="D84" s="1">
        <f t="shared" si="13"/>
        <v>2.2026429299131303E-27</v>
      </c>
      <c r="E84" s="1">
        <f t="shared" si="9"/>
        <v>1.0339757656912846E-21</v>
      </c>
      <c r="F84" s="1">
        <f>SUM(D$2:D84)</f>
        <v>22.000000000000007</v>
      </c>
      <c r="G84" s="1">
        <f>SUM($B$3:B84)</f>
        <v>5000</v>
      </c>
      <c r="H84" s="7">
        <f t="shared" si="11"/>
        <v>1</v>
      </c>
      <c r="I84" s="7">
        <f t="shared" si="14"/>
        <v>2252.240236044026</v>
      </c>
      <c r="J84" s="5"/>
      <c r="K84" s="3"/>
      <c r="L84" s="3"/>
    </row>
    <row r="85" spans="1:12" x14ac:dyDescent="0.25">
      <c r="A85" s="9">
        <f t="shared" si="10"/>
        <v>83</v>
      </c>
      <c r="B85" s="1">
        <f t="shared" si="7"/>
        <v>5.169878828456423E-22</v>
      </c>
      <c r="C85" s="15">
        <f t="shared" si="12"/>
        <v>516367.5540934226</v>
      </c>
      <c r="D85" s="1">
        <f t="shared" si="13"/>
        <v>1.0012013317786955E-27</v>
      </c>
      <c r="E85" s="1">
        <f t="shared" si="9"/>
        <v>5.169878828456423E-22</v>
      </c>
      <c r="F85" s="1">
        <f>SUM(D$2:D85)</f>
        <v>22.000000000000007</v>
      </c>
      <c r="G85" s="1">
        <f>SUM($B$3:B85)</f>
        <v>5000</v>
      </c>
      <c r="H85" s="7">
        <f t="shared" si="11"/>
        <v>1</v>
      </c>
      <c r="I85" s="7">
        <f t="shared" si="14"/>
        <v>2477.5642596484286</v>
      </c>
      <c r="J85" s="5"/>
      <c r="K85" s="3"/>
      <c r="L85" s="3"/>
    </row>
    <row r="86" spans="1:12" x14ac:dyDescent="0.25">
      <c r="A86" s="9">
        <f t="shared" si="10"/>
        <v>84</v>
      </c>
      <c r="B86" s="1">
        <f t="shared" si="7"/>
        <v>2.5849394142282115E-22</v>
      </c>
      <c r="C86" s="15">
        <f t="shared" si="12"/>
        <v>568004.30950276495</v>
      </c>
      <c r="D86" s="1">
        <f t="shared" si="13"/>
        <v>4.5509151444486155E-28</v>
      </c>
      <c r="E86" s="1">
        <f t="shared" si="9"/>
        <v>2.5849394142282115E-22</v>
      </c>
      <c r="F86" s="1">
        <f>SUM(D$2:D86)</f>
        <v>22.000000000000007</v>
      </c>
      <c r="G86" s="1">
        <f>SUM($B$3:B86)</f>
        <v>5000</v>
      </c>
      <c r="H86" s="7">
        <f t="shared" si="11"/>
        <v>1</v>
      </c>
      <c r="I86" s="7">
        <f t="shared" si="14"/>
        <v>2725.4206856132714</v>
      </c>
      <c r="J86" s="5"/>
      <c r="K86" s="3"/>
      <c r="L86" s="3"/>
    </row>
    <row r="87" spans="1:12" x14ac:dyDescent="0.25">
      <c r="A87" s="9">
        <f t="shared" si="10"/>
        <v>85</v>
      </c>
      <c r="B87" s="1">
        <f t="shared" ref="B87:B101" si="15">E86/2</f>
        <v>1.2924697071141057E-22</v>
      </c>
      <c r="C87" s="15">
        <f t="shared" si="12"/>
        <v>624804.74045304151</v>
      </c>
      <c r="D87" s="1">
        <f t="shared" si="13"/>
        <v>2.0685977929311887E-28</v>
      </c>
      <c r="E87" s="1">
        <f t="shared" si="9"/>
        <v>1.2924697071141057E-22</v>
      </c>
      <c r="F87" s="1">
        <f>SUM(D$2:D87)</f>
        <v>22.000000000000007</v>
      </c>
      <c r="G87" s="1">
        <f>SUM($B$3:B87)</f>
        <v>5000</v>
      </c>
      <c r="H87" s="7">
        <f t="shared" si="11"/>
        <v>1</v>
      </c>
      <c r="I87" s="7">
        <f t="shared" si="14"/>
        <v>2998.0627541745989</v>
      </c>
      <c r="J87" s="5"/>
      <c r="K87" s="3"/>
      <c r="L87" s="3"/>
    </row>
    <row r="88" spans="1:12" x14ac:dyDescent="0.25">
      <c r="A88" s="9">
        <f t="shared" si="10"/>
        <v>86</v>
      </c>
      <c r="B88" s="1">
        <f t="shared" si="15"/>
        <v>6.4623485355705287E-23</v>
      </c>
      <c r="C88" s="15">
        <f t="shared" si="12"/>
        <v>687285.21449834574</v>
      </c>
      <c r="D88" s="1">
        <f t="shared" si="13"/>
        <v>9.4027172405963102E-29</v>
      </c>
      <c r="E88" s="1">
        <f t="shared" si="9"/>
        <v>6.4623485355705287E-23</v>
      </c>
      <c r="F88" s="1">
        <f>SUM(D$2:D88)</f>
        <v>22.000000000000007</v>
      </c>
      <c r="G88" s="1">
        <f>SUM($B$3:B88)</f>
        <v>5000</v>
      </c>
      <c r="H88" s="7">
        <f t="shared" si="11"/>
        <v>1</v>
      </c>
      <c r="I88" s="7">
        <f t="shared" si="14"/>
        <v>3297.9690295920591</v>
      </c>
      <c r="J88" s="5"/>
      <c r="K88" s="3"/>
      <c r="L88" s="3"/>
    </row>
    <row r="89" spans="1:12" x14ac:dyDescent="0.25">
      <c r="A89" s="9">
        <f t="shared" si="10"/>
        <v>87</v>
      </c>
      <c r="B89" s="1">
        <f t="shared" si="15"/>
        <v>3.2311742677852644E-23</v>
      </c>
      <c r="C89" s="15">
        <f t="shared" si="12"/>
        <v>756013.73594818043</v>
      </c>
      <c r="D89" s="1">
        <f t="shared" si="13"/>
        <v>4.2739623820892311E-29</v>
      </c>
      <c r="E89" s="1">
        <f t="shared" si="9"/>
        <v>3.2311742677852644E-23</v>
      </c>
      <c r="F89" s="1">
        <f>SUM(D$2:D89)</f>
        <v>22.000000000000007</v>
      </c>
      <c r="G89" s="1">
        <f>SUM($B$3:B89)</f>
        <v>5000</v>
      </c>
      <c r="H89" s="7">
        <f t="shared" si="11"/>
        <v>1</v>
      </c>
      <c r="I89" s="7">
        <f t="shared" si="14"/>
        <v>3627.8659325512658</v>
      </c>
      <c r="J89" s="5"/>
      <c r="K89" s="3"/>
      <c r="L89" s="3"/>
    </row>
    <row r="90" spans="1:12" x14ac:dyDescent="0.25">
      <c r="A90" s="9">
        <f t="shared" si="10"/>
        <v>88</v>
      </c>
      <c r="B90" s="1">
        <f t="shared" si="15"/>
        <v>1.6155871338926322E-23</v>
      </c>
      <c r="C90" s="15">
        <f t="shared" si="12"/>
        <v>831615.10954299849</v>
      </c>
      <c r="D90" s="1">
        <f t="shared" si="13"/>
        <v>1.9427101736769232E-29</v>
      </c>
      <c r="E90" s="1">
        <f t="shared" si="9"/>
        <v>1.6155871338926322E-23</v>
      </c>
      <c r="F90" s="1">
        <f>SUM(D$2:D90)</f>
        <v>22.000000000000007</v>
      </c>
      <c r="G90" s="1">
        <f>SUM($B$3:B90)</f>
        <v>5000</v>
      </c>
      <c r="H90" s="7">
        <f t="shared" si="11"/>
        <v>1</v>
      </c>
      <c r="I90" s="7">
        <f t="shared" si="14"/>
        <v>3990.7525258063924</v>
      </c>
      <c r="J90" s="5"/>
      <c r="K90" s="3"/>
      <c r="L90" s="3"/>
    </row>
    <row r="91" spans="1:12" x14ac:dyDescent="0.25">
      <c r="A91" s="9">
        <f t="shared" si="10"/>
        <v>89</v>
      </c>
      <c r="B91" s="1">
        <f t="shared" si="15"/>
        <v>8.0779356694631609E-24</v>
      </c>
      <c r="C91" s="15">
        <f t="shared" si="12"/>
        <v>914776.62049729843</v>
      </c>
      <c r="D91" s="1">
        <f t="shared" si="13"/>
        <v>8.8305007894405596E-30</v>
      </c>
      <c r="E91" s="1">
        <f t="shared" si="9"/>
        <v>8.0779356694631609E-24</v>
      </c>
      <c r="F91" s="1">
        <f>SUM(D$2:D91)</f>
        <v>22.000000000000007</v>
      </c>
      <c r="G91" s="1">
        <f>SUM($B$3:B91)</f>
        <v>5000</v>
      </c>
      <c r="H91" s="7">
        <f t="shared" si="11"/>
        <v>1</v>
      </c>
      <c r="I91" s="7">
        <f t="shared" si="14"/>
        <v>4389.927778387032</v>
      </c>
      <c r="J91" s="5"/>
      <c r="K91" s="3"/>
      <c r="L91" s="3"/>
    </row>
    <row r="92" spans="1:12" x14ac:dyDescent="0.25">
      <c r="A92" s="9">
        <f t="shared" si="10"/>
        <v>90</v>
      </c>
      <c r="B92" s="1">
        <f t="shared" si="15"/>
        <v>4.0389678347315804E-24</v>
      </c>
      <c r="C92" s="15">
        <f t="shared" si="12"/>
        <v>1006254.2825470284</v>
      </c>
      <c r="D92" s="1">
        <f t="shared" si="13"/>
        <v>4.0138639952002536E-30</v>
      </c>
      <c r="E92" s="1">
        <f t="shared" si="9"/>
        <v>4.0389678347315804E-24</v>
      </c>
      <c r="F92" s="1">
        <f>SUM(D$2:D92)</f>
        <v>22.000000000000007</v>
      </c>
      <c r="G92" s="1">
        <f>SUM($B$3:B92)</f>
        <v>5000</v>
      </c>
      <c r="H92" s="7">
        <f t="shared" si="11"/>
        <v>1</v>
      </c>
      <c r="I92" s="7">
        <f t="shared" si="14"/>
        <v>4829.0205562257361</v>
      </c>
      <c r="J92" s="5"/>
      <c r="K92" s="3"/>
      <c r="L92" s="3"/>
    </row>
    <row r="93" spans="1:12" x14ac:dyDescent="0.25">
      <c r="A93" s="9">
        <f t="shared" si="10"/>
        <v>91</v>
      </c>
      <c r="B93" s="1">
        <f t="shared" si="15"/>
        <v>2.0194839173657902E-24</v>
      </c>
      <c r="C93" s="15">
        <f t="shared" si="12"/>
        <v>1106879.7108017313</v>
      </c>
      <c r="D93" s="1">
        <f t="shared" si="13"/>
        <v>1.8244836341819334E-30</v>
      </c>
      <c r="E93" s="1">
        <f t="shared" si="9"/>
        <v>2.0194839173657902E-24</v>
      </c>
      <c r="F93" s="1">
        <f>SUM(D$2:D93)</f>
        <v>22.000000000000007</v>
      </c>
      <c r="G93" s="1">
        <f>SUM($B$3:B93)</f>
        <v>5000</v>
      </c>
      <c r="H93" s="7">
        <f t="shared" si="11"/>
        <v>1</v>
      </c>
      <c r="I93" s="7">
        <f t="shared" si="14"/>
        <v>5312.0226118483106</v>
      </c>
      <c r="J93" s="5"/>
      <c r="K93" s="3"/>
      <c r="L93" s="3"/>
    </row>
    <row r="94" spans="1:12" x14ac:dyDescent="0.25">
      <c r="A94" s="9">
        <f t="shared" si="10"/>
        <v>92</v>
      </c>
      <c r="B94" s="1">
        <f t="shared" si="15"/>
        <v>1.0097419586828951E-24</v>
      </c>
      <c r="C94" s="15">
        <f t="shared" si="12"/>
        <v>1217567.6818819046</v>
      </c>
      <c r="D94" s="1">
        <f t="shared" si="13"/>
        <v>8.2931074280996955E-31</v>
      </c>
      <c r="E94" s="1">
        <f t="shared" si="9"/>
        <v>1.0097419586828951E-24</v>
      </c>
      <c r="F94" s="1">
        <f>SUM(D$2:D94)</f>
        <v>22.000000000000007</v>
      </c>
      <c r="G94" s="1">
        <f>SUM($B$3:B94)</f>
        <v>5000</v>
      </c>
      <c r="H94" s="7">
        <f t="shared" si="11"/>
        <v>1</v>
      </c>
      <c r="I94" s="7">
        <f t="shared" si="14"/>
        <v>5843.3248730331425</v>
      </c>
      <c r="J94" s="5"/>
      <c r="K94" s="3"/>
      <c r="L94" s="3"/>
    </row>
    <row r="95" spans="1:12" x14ac:dyDescent="0.25">
      <c r="A95" s="9">
        <f t="shared" si="10"/>
        <v>93</v>
      </c>
      <c r="B95" s="1">
        <f t="shared" si="15"/>
        <v>5.0487097934144756E-25</v>
      </c>
      <c r="C95" s="15">
        <f t="shared" si="12"/>
        <v>1339324.4500700952</v>
      </c>
      <c r="D95" s="1">
        <f t="shared" si="13"/>
        <v>3.7695942854998615E-31</v>
      </c>
      <c r="E95" s="1">
        <f t="shared" si="9"/>
        <v>5.0487097934144756E-25</v>
      </c>
      <c r="F95" s="1">
        <f>SUM(D$2:D95)</f>
        <v>22.000000000000007</v>
      </c>
      <c r="G95" s="1">
        <f>SUM($B$3:B95)</f>
        <v>5000</v>
      </c>
      <c r="H95" s="7">
        <f t="shared" si="11"/>
        <v>1</v>
      </c>
      <c r="I95" s="7">
        <f t="shared" si="14"/>
        <v>6427.7573603364572</v>
      </c>
      <c r="J95" s="5"/>
      <c r="K95" s="3"/>
      <c r="L95" s="3"/>
    </row>
    <row r="96" spans="1:12" x14ac:dyDescent="0.25">
      <c r="A96" s="9">
        <f t="shared" si="10"/>
        <v>94</v>
      </c>
      <c r="B96" s="1">
        <f t="shared" si="15"/>
        <v>2.5243548967072378E-25</v>
      </c>
      <c r="C96" s="15">
        <f t="shared" si="12"/>
        <v>1473256.8950771049</v>
      </c>
      <c r="D96" s="1">
        <f t="shared" si="13"/>
        <v>1.7134519479544822E-31</v>
      </c>
      <c r="E96" s="1">
        <f t="shared" si="9"/>
        <v>2.5243548967072378E-25</v>
      </c>
      <c r="F96" s="1">
        <f>SUM(D$2:D96)</f>
        <v>22.000000000000007</v>
      </c>
      <c r="G96" s="1">
        <f>SUM($B$3:B96)</f>
        <v>5000</v>
      </c>
      <c r="H96" s="7">
        <f t="shared" si="11"/>
        <v>1</v>
      </c>
      <c r="I96" s="7">
        <f t="shared" si="14"/>
        <v>7070.6330963701039</v>
      </c>
      <c r="J96" s="5"/>
      <c r="K96" s="3"/>
      <c r="L96" s="3"/>
    </row>
    <row r="97" spans="1:12" x14ac:dyDescent="0.25">
      <c r="A97" s="9">
        <f t="shared" si="10"/>
        <v>95</v>
      </c>
      <c r="B97" s="1">
        <f t="shared" si="15"/>
        <v>1.2621774483536189E-25</v>
      </c>
      <c r="C97" s="15">
        <f t="shared" si="12"/>
        <v>1620582.5845848154</v>
      </c>
      <c r="D97" s="1">
        <f t="shared" si="13"/>
        <v>7.7884179452476468E-32</v>
      </c>
      <c r="E97" s="1">
        <f t="shared" si="9"/>
        <v>1.2621774483536189E-25</v>
      </c>
      <c r="F97" s="1">
        <f>SUM(D$2:D97)</f>
        <v>22.000000000000007</v>
      </c>
      <c r="G97" s="1">
        <f>SUM($B$3:B97)</f>
        <v>5000</v>
      </c>
      <c r="H97" s="7">
        <f t="shared" si="11"/>
        <v>1</v>
      </c>
      <c r="I97" s="7">
        <f t="shared" si="14"/>
        <v>7777.7964060071145</v>
      </c>
      <c r="J97" s="5"/>
      <c r="K97" s="3"/>
      <c r="L97" s="3"/>
    </row>
    <row r="98" spans="1:12" x14ac:dyDescent="0.25">
      <c r="A98" s="9">
        <f t="shared" si="10"/>
        <v>96</v>
      </c>
      <c r="B98" s="1">
        <f t="shared" si="15"/>
        <v>6.3108872417680944E-26</v>
      </c>
      <c r="C98" s="15">
        <f t="shared" si="12"/>
        <v>1782640.8430432971</v>
      </c>
      <c r="D98" s="1">
        <f t="shared" si="13"/>
        <v>3.5401899751125668E-32</v>
      </c>
      <c r="E98" s="1">
        <f t="shared" si="9"/>
        <v>6.3108872417680944E-26</v>
      </c>
      <c r="F98" s="1">
        <f>SUM(D$2:D98)</f>
        <v>22.000000000000007</v>
      </c>
      <c r="G98" s="1">
        <f>SUM($B$3:B98)</f>
        <v>5000</v>
      </c>
      <c r="H98" s="7">
        <f t="shared" si="11"/>
        <v>1</v>
      </c>
      <c r="I98" s="7">
        <f t="shared" si="14"/>
        <v>8555.6760466078267</v>
      </c>
      <c r="J98" s="5"/>
      <c r="K98" s="3"/>
      <c r="L98" s="3"/>
    </row>
    <row r="99" spans="1:12" x14ac:dyDescent="0.25">
      <c r="A99" s="9">
        <f t="shared" si="10"/>
        <v>97</v>
      </c>
      <c r="B99" s="1">
        <f t="shared" si="15"/>
        <v>3.1554436208840472E-26</v>
      </c>
      <c r="C99" s="15">
        <f t="shared" si="12"/>
        <v>1960904.927347627</v>
      </c>
      <c r="D99" s="1">
        <f t="shared" si="13"/>
        <v>1.6091772614148029E-32</v>
      </c>
      <c r="E99" s="1">
        <f t="shared" si="9"/>
        <v>3.1554436208840472E-26</v>
      </c>
      <c r="F99" s="1">
        <f>SUM(D$2:D99)</f>
        <v>22.000000000000007</v>
      </c>
      <c r="G99" s="1">
        <f>SUM($B$3:B99)</f>
        <v>5000</v>
      </c>
      <c r="H99" s="7">
        <f t="shared" si="11"/>
        <v>1</v>
      </c>
      <c r="I99" s="7">
        <f t="shared" si="14"/>
        <v>9411.3436512686094</v>
      </c>
      <c r="J99" s="5"/>
      <c r="K99" s="3"/>
      <c r="L99" s="3"/>
    </row>
    <row r="100" spans="1:12" x14ac:dyDescent="0.25">
      <c r="A100" s="9">
        <f t="shared" si="10"/>
        <v>98</v>
      </c>
      <c r="B100" s="1">
        <f t="shared" si="15"/>
        <v>1.5777218104420236E-26</v>
      </c>
      <c r="C100" s="15">
        <f t="shared" si="12"/>
        <v>2156995.4200823898</v>
      </c>
      <c r="D100" s="1">
        <f t="shared" si="13"/>
        <v>7.3144420973400126E-33</v>
      </c>
      <c r="E100" s="1">
        <f t="shared" si="9"/>
        <v>1.5777218104420236E-26</v>
      </c>
      <c r="F100" s="1">
        <f>SUM(D$2:D100)</f>
        <v>22.000000000000007</v>
      </c>
      <c r="G100" s="1">
        <f>SUM($B$3:B100)</f>
        <v>5000</v>
      </c>
      <c r="H100" s="7">
        <f t="shared" si="11"/>
        <v>1</v>
      </c>
      <c r="I100" s="7">
        <f t="shared" si="14"/>
        <v>10352.57801639547</v>
      </c>
      <c r="J100" s="5"/>
      <c r="K100" s="3"/>
      <c r="L100" s="3"/>
    </row>
    <row r="101" spans="1:12" x14ac:dyDescent="0.25">
      <c r="A101" s="9">
        <f t="shared" si="10"/>
        <v>99</v>
      </c>
      <c r="B101" s="1">
        <f t="shared" si="15"/>
        <v>7.8886090522101181E-27</v>
      </c>
      <c r="C101" s="15">
        <f t="shared" si="12"/>
        <v>2372694.9620906292</v>
      </c>
      <c r="D101" s="1">
        <f t="shared" si="13"/>
        <v>3.3247464078818235E-33</v>
      </c>
      <c r="E101" s="1">
        <f t="shared" si="9"/>
        <v>7.8886090522101181E-27</v>
      </c>
      <c r="F101" s="1">
        <f>SUM(D$2:D101)</f>
        <v>22.000000000000007</v>
      </c>
      <c r="G101" s="1">
        <f>SUM($B$3:B101)</f>
        <v>5000</v>
      </c>
      <c r="H101" s="7">
        <f t="shared" si="11"/>
        <v>1</v>
      </c>
      <c r="I101" s="7">
        <f t="shared" si="14"/>
        <v>11387.935818035019</v>
      </c>
      <c r="J101" s="5"/>
      <c r="K101" s="3"/>
      <c r="L101" s="3"/>
    </row>
    <row r="102" spans="1:12" x14ac:dyDescent="0.25">
      <c r="A102" s="9">
        <f t="shared" ref="A102" si="16">A101+1</f>
        <v>100</v>
      </c>
      <c r="B102" s="1">
        <f t="shared" ref="B102" si="17">E101/2</f>
        <v>3.944304526105059E-27</v>
      </c>
      <c r="C102" s="15">
        <f t="shared" ref="C102" si="18">C101*1.1</f>
        <v>2609964.4582996923</v>
      </c>
      <c r="D102" s="1">
        <f t="shared" ref="D102" si="19">B102/C102</f>
        <v>1.5112483672190105E-33</v>
      </c>
      <c r="E102" s="1">
        <f t="shared" si="9"/>
        <v>3.944304526105059E-27</v>
      </c>
      <c r="F102" s="1">
        <f>SUM(D$2:D102)</f>
        <v>22.000000000000007</v>
      </c>
      <c r="G102" s="1">
        <f>SUM($B$3:B102)</f>
        <v>5000</v>
      </c>
      <c r="H102" s="7">
        <f t="shared" si="11"/>
        <v>1</v>
      </c>
      <c r="I102" s="7">
        <f t="shared" si="14"/>
        <v>12526.829399838522</v>
      </c>
    </row>
  </sheetData>
  <hyperlinks>
    <hyperlink ref="L1" r:id="rId1" xr:uid="{D17FA820-7B09-45DF-B0BD-A6A2F31CD599}"/>
    <hyperlink ref="L2" r:id="rId2" xr:uid="{F2E19B90-2951-48DC-8520-7C01320DAC7E}"/>
  </hyperlinks>
  <pageMargins left="0.7" right="0.7" top="0.75" bottom="0.75" header="0.3" footer="0.3"/>
  <pageSetup fitToHeight="0" orientation="landscape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TRSS,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Niederman</dc:creator>
  <cp:lastModifiedBy>Rob Niederman</cp:lastModifiedBy>
  <dcterms:created xsi:type="dcterms:W3CDTF">2025-06-17T17:10:28Z</dcterms:created>
  <dcterms:modified xsi:type="dcterms:W3CDTF">2025-06-20T12:34:04Z</dcterms:modified>
</cp:coreProperties>
</file>