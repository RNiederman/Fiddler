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ev\Python_Projects\MC\Fiddlers\"/>
    </mc:Choice>
  </mc:AlternateContent>
  <xr:revisionPtr revIDLastSave="0" documentId="13_ncr:1_{8756FEE2-B1F3-41DE-860D-E314ED3F3E43}" xr6:coauthVersionLast="47" xr6:coauthVersionMax="47" xr10:uidLastSave="{00000000-0000-0000-0000-000000000000}"/>
  <bookViews>
    <workbookView xWindow="-120" yWindow="-120" windowWidth="29040" windowHeight="15720" xr2:uid="{B57523B4-F114-465B-BDE6-6A5E4B78EBF6}"/>
  </bookViews>
  <sheets>
    <sheet name="Sheet1" sheetId="1" r:id="rId1"/>
  </sheets>
  <definedNames>
    <definedName name="solver_adj" localSheetId="0" hidden="1">Sheet1!$C$6:$V$8</definedName>
    <definedName name="solver_cvg" localSheetId="0" hidden="1">0.0001</definedName>
    <definedName name="solver_drv" localSheetId="0" hidden="1">2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0" localSheetId="0" hidden="1">Sheet1!$C$9:$K$9</definedName>
    <definedName name="solver_lhs1" localSheetId="0" hidden="1">Sheet1!$C$6:$V$7</definedName>
    <definedName name="solver_lhs10" localSheetId="0" hidden="1">Sheet1!$M$9:$U$9</definedName>
    <definedName name="solver_lhs11" localSheetId="0" hidden="1">Sheet1!$V$8</definedName>
    <definedName name="solver_lhs12" localSheetId="0" hidden="1">Sheet1!$V$8</definedName>
    <definedName name="solver_lhs13" localSheetId="0" hidden="1">Sheet1!$V$8</definedName>
    <definedName name="solver_lhs14" localSheetId="0" hidden="1">Sheet1!$Y$7</definedName>
    <definedName name="solver_lhs2" localSheetId="0" hidden="1">Sheet1!$C$6:$V$7</definedName>
    <definedName name="solver_lhs3" localSheetId="0" hidden="1">Sheet1!$C$6:$V$7</definedName>
    <definedName name="solver_lhs4" localSheetId="0" hidden="1">Sheet1!$C$8:$K$8</definedName>
    <definedName name="solver_lhs5" localSheetId="0" hidden="1">Sheet1!$C$9:$K$9</definedName>
    <definedName name="solver_lhs6" localSheetId="0" hidden="1">Sheet1!$L$8</definedName>
    <definedName name="solver_lhs7" localSheetId="0" hidden="1">Sheet1!$L$8</definedName>
    <definedName name="solver_lhs8" localSheetId="0" hidden="1">Sheet1!$L$8</definedName>
    <definedName name="solver_lhs9" localSheetId="0" hidden="1">Sheet1!$M$8:$U$8</definedName>
    <definedName name="solver_mip" localSheetId="0" hidden="1">2147483647</definedName>
    <definedName name="solver_mni" localSheetId="0" hidden="1">90</definedName>
    <definedName name="solver_mrt" localSheetId="0" hidden="1">0.25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14</definedName>
    <definedName name="solver_nwt" localSheetId="0" hidden="1">1</definedName>
    <definedName name="solver_opt" localSheetId="0" hidden="1">Sheet1!$Z$7</definedName>
    <definedName name="solver_pre" localSheetId="0" hidden="1">0.000001</definedName>
    <definedName name="solver_rbv" localSheetId="0" hidden="1">2</definedName>
    <definedName name="solver_rel0" localSheetId="0" hidden="1">1</definedName>
    <definedName name="solver_rel1" localSheetId="0" hidden="1">1</definedName>
    <definedName name="solver_rel10" localSheetId="0" hidden="1">1</definedName>
    <definedName name="solver_rel11" localSheetId="0" hidden="1">1</definedName>
    <definedName name="solver_rel12" localSheetId="0" hidden="1">2</definedName>
    <definedName name="solver_rel13" localSheetId="0" hidden="1">4</definedName>
    <definedName name="solver_rel14" localSheetId="0" hidden="1">2</definedName>
    <definedName name="solver_rel2" localSheetId="0" hidden="1">4</definedName>
    <definedName name="solver_rel3" localSheetId="0" hidden="1">3</definedName>
    <definedName name="solver_rel4" localSheetId="0" hidden="1">2</definedName>
    <definedName name="solver_rel5" localSheetId="0" hidden="1">1</definedName>
    <definedName name="solver_rel6" localSheetId="0" hidden="1">1</definedName>
    <definedName name="solver_rel7" localSheetId="0" hidden="1">4</definedName>
    <definedName name="solver_rel8" localSheetId="0" hidden="1">3</definedName>
    <definedName name="solver_rel9" localSheetId="0" hidden="1">2</definedName>
    <definedName name="solver_rhs0" localSheetId="0" hidden="1">10</definedName>
    <definedName name="solver_rhs1" localSheetId="0" hidden="1">10</definedName>
    <definedName name="solver_rhs10" localSheetId="0" hidden="1">10</definedName>
    <definedName name="solver_rhs11" localSheetId="0" hidden="1">10</definedName>
    <definedName name="solver_rhs12" localSheetId="0" hidden="1">0</definedName>
    <definedName name="solver_rhs13" localSheetId="0" hidden="1">"integer"</definedName>
    <definedName name="solver_rhs14" localSheetId="0" hidden="1">0</definedName>
    <definedName name="solver_rhs2" localSheetId="0" hidden="1">"integer"</definedName>
    <definedName name="solver_rhs3" localSheetId="0" hidden="1">0</definedName>
    <definedName name="solver_rhs4" localSheetId="0" hidden="1">0</definedName>
    <definedName name="solver_rhs5" localSheetId="0" hidden="1">10</definedName>
    <definedName name="solver_rhs6" localSheetId="0" hidden="1">10</definedName>
    <definedName name="solver_rhs7" localSheetId="0" hidden="1">"integer"</definedName>
    <definedName name="solver_rhs8" localSheetId="0" hidden="1">0</definedName>
    <definedName name="solver_rhs9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250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O9" i="1"/>
  <c r="O13" i="1" s="1"/>
  <c r="V18" i="1"/>
  <c r="V13" i="1"/>
  <c r="V12" i="1"/>
  <c r="U12" i="1"/>
  <c r="T12" i="1"/>
  <c r="S12" i="1"/>
  <c r="R12" i="1"/>
  <c r="Q12" i="1"/>
  <c r="P12" i="1"/>
  <c r="O12" i="1"/>
  <c r="N12" i="1"/>
  <c r="M12" i="1"/>
  <c r="V10" i="1"/>
  <c r="U16" i="1" s="1"/>
  <c r="U10" i="1"/>
  <c r="T16" i="1" s="1"/>
  <c r="T10" i="1"/>
  <c r="S16" i="1" s="1"/>
  <c r="S10" i="1"/>
  <c r="R16" i="1" s="1"/>
  <c r="R10" i="1"/>
  <c r="Q16" i="1" s="1"/>
  <c r="Q10" i="1"/>
  <c r="P16" i="1" s="1"/>
  <c r="P10" i="1"/>
  <c r="O16" i="1" s="1"/>
  <c r="O10" i="1"/>
  <c r="N16" i="1" s="1"/>
  <c r="N10" i="1"/>
  <c r="M16" i="1" s="1"/>
  <c r="U9" i="1"/>
  <c r="U13" i="1" s="1"/>
  <c r="T9" i="1"/>
  <c r="T17" i="1" s="1"/>
  <c r="S9" i="1"/>
  <c r="S17" i="1" s="1"/>
  <c r="R9" i="1"/>
  <c r="R18" i="1" s="1"/>
  <c r="Q9" i="1"/>
  <c r="Q18" i="1" s="1"/>
  <c r="P9" i="1"/>
  <c r="P13" i="1" s="1"/>
  <c r="N9" i="1"/>
  <c r="N13" i="1" s="1"/>
  <c r="M9" i="1"/>
  <c r="M13" i="1" s="1"/>
  <c r="N5" i="1"/>
  <c r="O5" i="1" s="1"/>
  <c r="P5" i="1" s="1"/>
  <c r="Q5" i="1" s="1"/>
  <c r="R5" i="1" s="1"/>
  <c r="S5" i="1" s="1"/>
  <c r="T5" i="1" s="1"/>
  <c r="U5" i="1" s="1"/>
  <c r="V5" i="1" s="1"/>
  <c r="L18" i="1"/>
  <c r="L10" i="1"/>
  <c r="L12" i="1"/>
  <c r="L13" i="1"/>
  <c r="D5" i="1"/>
  <c r="E5" i="1" s="1"/>
  <c r="F5" i="1" s="1"/>
  <c r="G5" i="1" s="1"/>
  <c r="H5" i="1" s="1"/>
  <c r="I5" i="1" s="1"/>
  <c r="J5" i="1" s="1"/>
  <c r="K5" i="1" s="1"/>
  <c r="L5" i="1" s="1"/>
  <c r="E12" i="1" l="1"/>
  <c r="E10" i="1"/>
  <c r="D16" i="1" s="1"/>
  <c r="D10" i="1"/>
  <c r="C16" i="1" s="1"/>
  <c r="F12" i="1"/>
  <c r="E9" i="1"/>
  <c r="E13" i="1" s="1"/>
  <c r="C9" i="1"/>
  <c r="C12" i="1"/>
  <c r="L9" i="1"/>
  <c r="L17" i="1" s="1"/>
  <c r="V9" i="1"/>
  <c r="V16" i="1" s="1"/>
  <c r="S13" i="1"/>
  <c r="Q13" i="1"/>
  <c r="M17" i="1"/>
  <c r="U17" i="1"/>
  <c r="S18" i="1"/>
  <c r="R13" i="1"/>
  <c r="N17" i="1"/>
  <c r="T18" i="1"/>
  <c r="T13" i="1"/>
  <c r="P17" i="1"/>
  <c r="N18" i="1"/>
  <c r="M18" i="1"/>
  <c r="Q17" i="1"/>
  <c r="O18" i="1"/>
  <c r="U18" i="1"/>
  <c r="R17" i="1"/>
  <c r="P18" i="1"/>
  <c r="O17" i="1"/>
  <c r="F10" i="1" l="1"/>
  <c r="E16" i="1" s="1"/>
  <c r="E17" i="1"/>
  <c r="F9" i="1"/>
  <c r="E18" i="1"/>
  <c r="D9" i="1"/>
  <c r="D17" i="1" s="1"/>
  <c r="C17" i="1"/>
  <c r="C18" i="1"/>
  <c r="C13" i="1"/>
  <c r="L16" i="1"/>
  <c r="L20" i="1" s="1" a="1"/>
  <c r="L20" i="1" s="1"/>
  <c r="V17" i="1"/>
  <c r="V20" i="1" s="1" a="1"/>
  <c r="V20" i="1" s="1"/>
  <c r="Y6" i="1"/>
  <c r="O20" i="1" a="1"/>
  <c r="O20" i="1" s="1"/>
  <c r="M20" i="1" a="1"/>
  <c r="M20" i="1" s="1"/>
  <c r="R20" i="1" a="1"/>
  <c r="R20" i="1" s="1"/>
  <c r="N20" i="1" a="1"/>
  <c r="N20" i="1" s="1"/>
  <c r="U20" i="1" a="1"/>
  <c r="U20" i="1" s="1"/>
  <c r="P20" i="1" a="1"/>
  <c r="P20" i="1" s="1"/>
  <c r="Q20" i="1" a="1"/>
  <c r="Q20" i="1" s="1"/>
  <c r="S20" i="1" a="1"/>
  <c r="S20" i="1" s="1"/>
  <c r="T20" i="1" a="1"/>
  <c r="T20" i="1" s="1"/>
  <c r="G12" i="1" l="1"/>
  <c r="G9" i="1"/>
  <c r="G10" i="1"/>
  <c r="F16" i="1" s="1"/>
  <c r="E20" i="1" a="1"/>
  <c r="E20" i="1" s="1"/>
  <c r="C20" i="1" a="1"/>
  <c r="C20" i="1" s="1"/>
  <c r="F17" i="1"/>
  <c r="F13" i="1"/>
  <c r="F18" i="1"/>
  <c r="D18" i="1"/>
  <c r="D13" i="1"/>
  <c r="Z6" i="1"/>
  <c r="G13" i="1" l="1"/>
  <c r="G17" i="1"/>
  <c r="G18" i="1"/>
  <c r="H10" i="1"/>
  <c r="G16" i="1" s="1"/>
  <c r="H9" i="1"/>
  <c r="H12" i="1"/>
  <c r="D20" i="1" a="1"/>
  <c r="D20" i="1" s="1"/>
  <c r="F20" i="1" a="1"/>
  <c r="F20" i="1" s="1"/>
  <c r="G20" i="1" l="1" a="1"/>
  <c r="G20" i="1" s="1"/>
  <c r="H17" i="1"/>
  <c r="H13" i="1"/>
  <c r="H18" i="1"/>
  <c r="I10" i="1"/>
  <c r="H16" i="1" s="1"/>
  <c r="I9" i="1"/>
  <c r="I12" i="1"/>
  <c r="J10" i="1" l="1"/>
  <c r="I16" i="1" s="1"/>
  <c r="H20" i="1" a="1"/>
  <c r="H20" i="1" s="1"/>
  <c r="I18" i="1"/>
  <c r="I13" i="1"/>
  <c r="I17" i="1"/>
  <c r="J12" i="1"/>
  <c r="I20" i="1" l="1" a="1"/>
  <c r="I20" i="1" s="1"/>
  <c r="Y5" i="1"/>
  <c r="Y7" i="1" s="1"/>
  <c r="K12" i="1"/>
  <c r="K16" i="1"/>
  <c r="K10" i="1"/>
  <c r="J16" i="1" s="1"/>
  <c r="K9" i="1"/>
  <c r="J9" i="1"/>
  <c r="K17" i="1" l="1"/>
  <c r="K13" i="1"/>
  <c r="K18" i="1"/>
  <c r="J18" i="1"/>
  <c r="J13" i="1"/>
  <c r="J17" i="1"/>
  <c r="J20" i="1" l="1" a="1"/>
  <c r="J20" i="1" s="1"/>
  <c r="K20" i="1" a="1"/>
  <c r="K20" i="1" s="1"/>
  <c r="Z5" i="1" l="1"/>
  <c r="Z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<sst xmlns="http://schemas.openxmlformats.org/spreadsheetml/2006/main" count="20" uniqueCount="19">
  <si>
    <t>Frame</t>
  </si>
  <si>
    <t>Toss</t>
  </si>
  <si>
    <t>Pins</t>
  </si>
  <si>
    <t>Score</t>
  </si>
  <si>
    <t>Strike</t>
  </si>
  <si>
    <t>Spare</t>
  </si>
  <si>
    <t>Next2</t>
  </si>
  <si>
    <t>https://thefiddler.substack.com/p/can-you-hack-bowling</t>
  </si>
  <si>
    <t>B_Strike</t>
  </si>
  <si>
    <t>B_Spare</t>
  </si>
  <si>
    <t>&lt;10</t>
  </si>
  <si>
    <t>CkSum</t>
  </si>
  <si>
    <t>B_&lt;10</t>
  </si>
  <si>
    <t>Bowler 1</t>
  </si>
  <si>
    <t>Bowler 2</t>
  </si>
  <si>
    <t>B1</t>
  </si>
  <si>
    <t>B2</t>
  </si>
  <si>
    <t>Δ</t>
  </si>
  <si>
    <t>https://thefiddler.substack.com/p/can-you-meet-me-at-the-mall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</si>
</sst>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5" x14ac:knownFonts="1">
    <font>
      <sz val="11"/>
      <color theme="1"/>
      <name val="Consolas"/>
      <family val="2"/>
    </font>
    <font>
      <b/>
      <sz val="11"/>
      <color theme="1"/>
      <name val="Consolas"/>
      <family val="3"/>
    </font>
    <font>
      <u/>
      <sz val="11"/>
      <color theme="10"/>
      <name val="Consolas"/>
      <family val="2"/>
    </font>
    <font>
      <sz val="11"/>
      <color theme="1"/>
      <name val="Consolas"/>
      <family val="3"/>
    </font>
    <font>
      <b/>
      <sz val="1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1"/>
    <xf numFmtId="0" fontId="0" fillId="2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6" xfId="0" applyBorder="1"/>
    <xf numFmtId="0" fontId="0" fillId="0" borderId="12" xfId="0" applyBorder="1" applyAlignment="1">
      <alignment horizontal="center"/>
    </xf>
    <xf numFmtId="0" fontId="0" fillId="2" borderId="13" xfId="0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/>
    <xf numFmtId="0" fontId="3" fillId="0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0" fillId="0" borderId="18" xfId="0" applyNumberFormat="1" applyBorder="1"/>
    <xf numFmtId="0" fontId="0" fillId="0" borderId="18" xfId="0" applyNumberFormat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0" xfId="0" applyBorder="1"/>
    <xf numFmtId="0" fontId="0" fillId="0" borderId="24" xfId="0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" xfId="0" applyBorder="1" applyAlignment="1">
      <alignment horizontal="center" vertical="center" textRotation="135"/>
    </xf>
    <xf numFmtId="0" fontId="0" fillId="0" borderId="4" xfId="0" applyBorder="1" applyAlignment="1">
      <alignment horizontal="center" vertical="center" textRotation="135"/>
    </xf>
    <xf numFmtId="0" fontId="0" fillId="0" borderId="5" xfId="0" applyBorder="1" applyAlignment="1">
      <alignment horizontal="center" vertical="center" textRotation="135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hefiddler.substack.com/p/can-you-meet-me-at-the-mall" TargetMode="External"/><Relationship Id="rId1" Type="http://schemas.openxmlformats.org/officeDocument/2006/relationships/hyperlink" Target="https://thefiddler.substack.com/p/can-you-hack-bowl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8D1AC-2A81-41BC-BE55-CD40CD320A94}">
  <sheetPr codeName="Sheet1"/>
  <dimension ref="A1:Z20"/>
  <sheetViews>
    <sheetView tabSelected="1" workbookViewId="0">
      <selection activeCell="V8" sqref="V8"/>
    </sheetView>
  </sheetViews>
  <sheetFormatPr defaultRowHeight="15" x14ac:dyDescent="0.25"/>
  <cols>
    <col min="1" max="1" width="8.875" bestFit="1" customWidth="1"/>
    <col min="2" max="12" width="5.875" bestFit="1" customWidth="1"/>
    <col min="13" max="22" width="5.875" customWidth="1"/>
    <col min="23" max="23" width="2.625" customWidth="1"/>
    <col min="24" max="24" width="2.875" bestFit="1" customWidth="1"/>
    <col min="25" max="25" width="4.875" bestFit="1" customWidth="1"/>
    <col min="26" max="26" width="5.875" customWidth="1"/>
  </cols>
  <sheetData>
    <row r="1" spans="1:26" x14ac:dyDescent="0.25">
      <c r="C1" s="7" t="s">
        <v>7</v>
      </c>
    </row>
    <row r="2" spans="1:26" x14ac:dyDescent="0.25">
      <c r="C2" s="7" t="s">
        <v>18</v>
      </c>
    </row>
    <row r="3" spans="1:26" ht="5.0999999999999996" customHeight="1" thickBot="1" x14ac:dyDescent="0.3">
      <c r="A3" s="7"/>
      <c r="L3" s="29"/>
      <c r="M3" s="28"/>
    </row>
    <row r="4" spans="1:26" x14ac:dyDescent="0.25">
      <c r="C4" s="51" t="s">
        <v>13</v>
      </c>
      <c r="D4" s="52"/>
      <c r="E4" s="52"/>
      <c r="F4" s="52"/>
      <c r="G4" s="52"/>
      <c r="H4" s="52"/>
      <c r="I4" s="52"/>
      <c r="J4" s="52"/>
      <c r="K4" s="52"/>
      <c r="L4" s="53"/>
      <c r="M4" s="51" t="s">
        <v>14</v>
      </c>
      <c r="N4" s="52"/>
      <c r="O4" s="52"/>
      <c r="P4" s="52"/>
      <c r="Q4" s="52"/>
      <c r="R4" s="52"/>
      <c r="S4" s="52"/>
      <c r="T4" s="52"/>
      <c r="U4" s="52"/>
      <c r="V4" s="53"/>
      <c r="W4" s="22"/>
      <c r="X4" s="22"/>
      <c r="Y4" s="6" t="s">
        <v>2</v>
      </c>
      <c r="Z4" s="6" t="s">
        <v>3</v>
      </c>
    </row>
    <row r="5" spans="1:26" x14ac:dyDescent="0.25">
      <c r="B5" s="14" t="s">
        <v>0</v>
      </c>
      <c r="C5" s="10">
        <v>1</v>
      </c>
      <c r="D5" s="1">
        <f>C5+1</f>
        <v>2</v>
      </c>
      <c r="E5" s="1">
        <f t="shared" ref="E5:L5" si="0">D5+1</f>
        <v>3</v>
      </c>
      <c r="F5" s="1">
        <f t="shared" si="0"/>
        <v>4</v>
      </c>
      <c r="G5" s="1">
        <f t="shared" si="0"/>
        <v>5</v>
      </c>
      <c r="H5" s="1">
        <f t="shared" si="0"/>
        <v>6</v>
      </c>
      <c r="I5" s="1">
        <f t="shared" si="0"/>
        <v>7</v>
      </c>
      <c r="J5" s="1">
        <f t="shared" si="0"/>
        <v>8</v>
      </c>
      <c r="K5" s="1">
        <f t="shared" si="0"/>
        <v>9</v>
      </c>
      <c r="L5" s="15">
        <f t="shared" si="0"/>
        <v>10</v>
      </c>
      <c r="M5" s="10">
        <v>1</v>
      </c>
      <c r="N5" s="1">
        <f>M5+1</f>
        <v>2</v>
      </c>
      <c r="O5" s="1">
        <f t="shared" ref="O5" si="1">N5+1</f>
        <v>3</v>
      </c>
      <c r="P5" s="1">
        <f t="shared" ref="P5" si="2">O5+1</f>
        <v>4</v>
      </c>
      <c r="Q5" s="1">
        <f t="shared" ref="Q5" si="3">P5+1</f>
        <v>5</v>
      </c>
      <c r="R5" s="1">
        <f t="shared" ref="R5" si="4">Q5+1</f>
        <v>6</v>
      </c>
      <c r="S5" s="1">
        <f t="shared" ref="S5" si="5">R5+1</f>
        <v>7</v>
      </c>
      <c r="T5" s="1">
        <f t="shared" ref="T5" si="6">S5+1</f>
        <v>8</v>
      </c>
      <c r="U5" s="1">
        <f t="shared" ref="U5" si="7">T5+1</f>
        <v>9</v>
      </c>
      <c r="V5" s="15">
        <f t="shared" ref="V5" si="8">U5+1</f>
        <v>10</v>
      </c>
      <c r="W5" s="23"/>
      <c r="X5" s="1" t="s">
        <v>15</v>
      </c>
      <c r="Y5" s="1">
        <f>SUM(C6:L7)+L9</f>
        <v>111</v>
      </c>
      <c r="Z5" s="1">
        <f>SUM(C20:L20)</f>
        <v>111</v>
      </c>
    </row>
    <row r="6" spans="1:26" ht="15" customHeight="1" x14ac:dyDescent="0.25">
      <c r="A6" s="48" t="s">
        <v>1</v>
      </c>
      <c r="B6" s="14">
        <v>1</v>
      </c>
      <c r="C6" s="11">
        <v>1</v>
      </c>
      <c r="D6" s="3">
        <v>2</v>
      </c>
      <c r="E6" s="3">
        <v>3</v>
      </c>
      <c r="F6" s="3">
        <v>4</v>
      </c>
      <c r="G6" s="3">
        <v>5</v>
      </c>
      <c r="H6" s="3">
        <v>6</v>
      </c>
      <c r="I6" s="3">
        <v>7</v>
      </c>
      <c r="J6" s="3">
        <v>8</v>
      </c>
      <c r="K6" s="3">
        <v>9</v>
      </c>
      <c r="L6" s="16">
        <v>10</v>
      </c>
      <c r="M6" s="11">
        <v>10</v>
      </c>
      <c r="N6" s="8">
        <v>10</v>
      </c>
      <c r="O6" s="8">
        <v>10</v>
      </c>
      <c r="P6" s="8">
        <v>10</v>
      </c>
      <c r="Q6" s="8">
        <v>10</v>
      </c>
      <c r="R6" s="8">
        <v>10</v>
      </c>
      <c r="S6" s="8">
        <v>10</v>
      </c>
      <c r="T6" s="8">
        <v>10</v>
      </c>
      <c r="U6" s="8">
        <v>10</v>
      </c>
      <c r="V6" s="18">
        <v>10</v>
      </c>
      <c r="W6" s="4"/>
      <c r="X6" s="5" t="s">
        <v>16</v>
      </c>
      <c r="Y6" s="5">
        <f>SUM(M6:V7)+V9</f>
        <v>111</v>
      </c>
      <c r="Z6" s="5">
        <f>SUM(M20:V20)</f>
        <v>291</v>
      </c>
    </row>
    <row r="7" spans="1:26" x14ac:dyDescent="0.25">
      <c r="A7" s="49"/>
      <c r="B7" s="14">
        <v>2</v>
      </c>
      <c r="C7" s="11">
        <v>8</v>
      </c>
      <c r="D7" s="3">
        <v>7</v>
      </c>
      <c r="E7" s="3">
        <v>6</v>
      </c>
      <c r="F7" s="3">
        <v>5</v>
      </c>
      <c r="G7" s="3">
        <v>4</v>
      </c>
      <c r="H7" s="3">
        <v>3</v>
      </c>
      <c r="I7" s="3">
        <v>2</v>
      </c>
      <c r="J7" s="3">
        <v>1</v>
      </c>
      <c r="K7" s="3">
        <v>0</v>
      </c>
      <c r="L7" s="16">
        <v>10</v>
      </c>
      <c r="M7" s="11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16">
        <v>10</v>
      </c>
      <c r="W7" s="4"/>
      <c r="X7" s="25" t="s">
        <v>17</v>
      </c>
      <c r="Y7" s="27">
        <f>Y6-Y5</f>
        <v>0</v>
      </c>
      <c r="Z7" s="26">
        <f>Z6-Z5</f>
        <v>180</v>
      </c>
    </row>
    <row r="8" spans="1:26" x14ac:dyDescent="0.25">
      <c r="A8" s="50"/>
      <c r="B8" s="14">
        <v>3</v>
      </c>
      <c r="C8" s="12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8">
        <v>10</v>
      </c>
      <c r="M8" s="12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8">
        <v>1</v>
      </c>
      <c r="W8" s="4"/>
      <c r="X8" s="4"/>
      <c r="Y8" s="4"/>
      <c r="Z8" s="4"/>
    </row>
    <row r="9" spans="1:26" x14ac:dyDescent="0.25">
      <c r="B9" t="s">
        <v>11</v>
      </c>
      <c r="C9" s="13">
        <f>SUM(C6:C7)</f>
        <v>9</v>
      </c>
      <c r="D9" s="9">
        <f t="shared" ref="D9:K9" si="9">SUM(D6:D7)</f>
        <v>9</v>
      </c>
      <c r="E9" s="9">
        <f t="shared" si="9"/>
        <v>9</v>
      </c>
      <c r="F9" s="9">
        <f t="shared" si="9"/>
        <v>9</v>
      </c>
      <c r="G9" s="9">
        <f t="shared" si="9"/>
        <v>9</v>
      </c>
      <c r="H9" s="9">
        <f t="shared" si="9"/>
        <v>9</v>
      </c>
      <c r="I9" s="9">
        <f t="shared" si="9"/>
        <v>9</v>
      </c>
      <c r="J9" s="9">
        <f t="shared" si="9"/>
        <v>9</v>
      </c>
      <c r="K9" s="9">
        <f t="shared" si="9"/>
        <v>9</v>
      </c>
      <c r="L9" s="30">
        <f>IF(OR(L12,L13),L8,0)</f>
        <v>10</v>
      </c>
      <c r="M9" s="13">
        <f>SUM(M6:M7)</f>
        <v>10</v>
      </c>
      <c r="N9" s="9">
        <f t="shared" ref="N9:U9" si="10">SUM(N6:N7)</f>
        <v>10</v>
      </c>
      <c r="O9" s="9">
        <f t="shared" si="10"/>
        <v>10</v>
      </c>
      <c r="P9" s="9">
        <f t="shared" si="10"/>
        <v>10</v>
      </c>
      <c r="Q9" s="9">
        <f t="shared" si="10"/>
        <v>10</v>
      </c>
      <c r="R9" s="9">
        <f t="shared" si="10"/>
        <v>10</v>
      </c>
      <c r="S9" s="9">
        <f t="shared" si="10"/>
        <v>10</v>
      </c>
      <c r="T9" s="9">
        <f t="shared" si="10"/>
        <v>10</v>
      </c>
      <c r="U9" s="9">
        <f t="shared" si="10"/>
        <v>10</v>
      </c>
      <c r="V9" s="30">
        <f>IF(OR(V12,V13),V8,0)</f>
        <v>1</v>
      </c>
      <c r="W9" s="24"/>
      <c r="X9" s="24"/>
      <c r="Y9" s="24"/>
      <c r="Z9" s="24"/>
    </row>
    <row r="10" spans="1:26" ht="15.75" thickBot="1" x14ac:dyDescent="0.3">
      <c r="B10" t="s">
        <v>6</v>
      </c>
      <c r="C10" s="19"/>
      <c r="D10" s="20">
        <f>IF(D6=10,SUM(D6:E6),SUM(D6:D7))</f>
        <v>9</v>
      </c>
      <c r="E10" s="20">
        <f t="shared" ref="E10:K10" si="11">IF(E6=10,SUM(E6:F6),SUM(E6:E7))</f>
        <v>9</v>
      </c>
      <c r="F10" s="20">
        <f t="shared" si="11"/>
        <v>9</v>
      </c>
      <c r="G10" s="20">
        <f t="shared" si="11"/>
        <v>9</v>
      </c>
      <c r="H10" s="20">
        <f t="shared" si="11"/>
        <v>9</v>
      </c>
      <c r="I10" s="20">
        <f t="shared" si="11"/>
        <v>9</v>
      </c>
      <c r="J10" s="20">
        <f t="shared" si="11"/>
        <v>9</v>
      </c>
      <c r="K10" s="20">
        <f t="shared" si="11"/>
        <v>9</v>
      </c>
      <c r="L10" s="21">
        <f>SUM(L6:L7)</f>
        <v>20</v>
      </c>
      <c r="M10" s="19"/>
      <c r="N10" s="20">
        <f>IF(N6=10,SUM(N6:O6),SUM(N6:N7))</f>
        <v>20</v>
      </c>
      <c r="O10" s="20">
        <f t="shared" ref="O10:U10" si="12">IF(O6=10,SUM(O6:P6),SUM(O6:O7))</f>
        <v>20</v>
      </c>
      <c r="P10" s="20">
        <f t="shared" si="12"/>
        <v>20</v>
      </c>
      <c r="Q10" s="20">
        <f t="shared" si="12"/>
        <v>20</v>
      </c>
      <c r="R10" s="20">
        <f t="shared" si="12"/>
        <v>20</v>
      </c>
      <c r="S10" s="20">
        <f t="shared" si="12"/>
        <v>20</v>
      </c>
      <c r="T10" s="20">
        <f t="shared" si="12"/>
        <v>20</v>
      </c>
      <c r="U10" s="20">
        <f t="shared" si="12"/>
        <v>20</v>
      </c>
      <c r="V10" s="21">
        <f>SUM(V6:V7)</f>
        <v>20</v>
      </c>
      <c r="W10" s="4"/>
      <c r="X10" s="4"/>
      <c r="Y10" s="4"/>
      <c r="Z10" s="4"/>
    </row>
    <row r="11" spans="1:26" ht="5.0999999999999996" customHeight="1" x14ac:dyDescent="0.25"/>
    <row r="12" spans="1:26" x14ac:dyDescent="0.25">
      <c r="A12" t="s">
        <v>8</v>
      </c>
      <c r="C12" s="35" t="b">
        <f>C6=10</f>
        <v>0</v>
      </c>
      <c r="D12" s="36" t="b">
        <f t="shared" ref="D12:L12" si="13">D6=10</f>
        <v>0</v>
      </c>
      <c r="E12" s="36" t="b">
        <f t="shared" si="13"/>
        <v>0</v>
      </c>
      <c r="F12" s="36" t="b">
        <f t="shared" si="13"/>
        <v>0</v>
      </c>
      <c r="G12" s="36" t="b">
        <f t="shared" si="13"/>
        <v>0</v>
      </c>
      <c r="H12" s="36" t="b">
        <f t="shared" si="13"/>
        <v>0</v>
      </c>
      <c r="I12" s="36" t="b">
        <f t="shared" si="13"/>
        <v>0</v>
      </c>
      <c r="J12" s="36" t="b">
        <f t="shared" si="13"/>
        <v>0</v>
      </c>
      <c r="K12" s="36" t="b">
        <f t="shared" si="13"/>
        <v>0</v>
      </c>
      <c r="L12" s="36" t="b">
        <f t="shared" si="13"/>
        <v>1</v>
      </c>
      <c r="M12" s="37" t="b">
        <f>M6=10</f>
        <v>1</v>
      </c>
      <c r="N12" s="36" t="b">
        <f t="shared" ref="N12:V12" si="14">N6=10</f>
        <v>1</v>
      </c>
      <c r="O12" s="36" t="b">
        <f t="shared" si="14"/>
        <v>1</v>
      </c>
      <c r="P12" s="36" t="b">
        <f t="shared" si="14"/>
        <v>1</v>
      </c>
      <c r="Q12" s="36" t="b">
        <f t="shared" si="14"/>
        <v>1</v>
      </c>
      <c r="R12" s="36" t="b">
        <f t="shared" si="14"/>
        <v>1</v>
      </c>
      <c r="S12" s="36" t="b">
        <f t="shared" si="14"/>
        <v>1</v>
      </c>
      <c r="T12" s="36" t="b">
        <f t="shared" si="14"/>
        <v>1</v>
      </c>
      <c r="U12" s="36" t="b">
        <f t="shared" si="14"/>
        <v>1</v>
      </c>
      <c r="V12" s="38" t="b">
        <f t="shared" si="14"/>
        <v>1</v>
      </c>
    </row>
    <row r="13" spans="1:26" x14ac:dyDescent="0.25">
      <c r="A13" t="s">
        <v>9</v>
      </c>
      <c r="C13" s="39" t="b">
        <f>C9=10</f>
        <v>0</v>
      </c>
      <c r="D13" s="40" t="b">
        <f t="shared" ref="D13:K13" si="15">D9=10</f>
        <v>0</v>
      </c>
      <c r="E13" s="40" t="b">
        <f t="shared" si="15"/>
        <v>0</v>
      </c>
      <c r="F13" s="40" t="b">
        <f t="shared" si="15"/>
        <v>0</v>
      </c>
      <c r="G13" s="40" t="b">
        <f t="shared" si="15"/>
        <v>0</v>
      </c>
      <c r="H13" s="40" t="b">
        <f t="shared" si="15"/>
        <v>0</v>
      </c>
      <c r="I13" s="40" t="b">
        <f t="shared" si="15"/>
        <v>0</v>
      </c>
      <c r="J13" s="40" t="b">
        <f t="shared" si="15"/>
        <v>0</v>
      </c>
      <c r="K13" s="40" t="b">
        <f t="shared" si="15"/>
        <v>0</v>
      </c>
      <c r="L13" s="40" t="b">
        <f t="shared" ref="L13" si="16">SUM(L6:L7)=10</f>
        <v>0</v>
      </c>
      <c r="M13" s="33" t="b">
        <f>M9=10</f>
        <v>1</v>
      </c>
      <c r="N13" s="40" t="b">
        <f t="shared" ref="N13:U13" si="17">N9=10</f>
        <v>1</v>
      </c>
      <c r="O13" s="40" t="b">
        <f t="shared" si="17"/>
        <v>1</v>
      </c>
      <c r="P13" s="40" t="b">
        <f t="shared" si="17"/>
        <v>1</v>
      </c>
      <c r="Q13" s="40" t="b">
        <f t="shared" si="17"/>
        <v>1</v>
      </c>
      <c r="R13" s="40" t="b">
        <f t="shared" si="17"/>
        <v>1</v>
      </c>
      <c r="S13" s="40" t="b">
        <f t="shared" si="17"/>
        <v>1</v>
      </c>
      <c r="T13" s="40" t="b">
        <f t="shared" si="17"/>
        <v>1</v>
      </c>
      <c r="U13" s="40" t="b">
        <f t="shared" si="17"/>
        <v>1</v>
      </c>
      <c r="V13" s="41" t="b">
        <f t="shared" ref="V13" si="18">SUM(V6:V7)=10</f>
        <v>0</v>
      </c>
    </row>
    <row r="14" spans="1:26" x14ac:dyDescent="0.25">
      <c r="A14" t="s">
        <v>12</v>
      </c>
      <c r="C14" s="39" t="b">
        <v>1</v>
      </c>
      <c r="D14" s="40" t="b">
        <v>1</v>
      </c>
      <c r="E14" s="40" t="b">
        <v>1</v>
      </c>
      <c r="F14" s="40" t="b">
        <v>1</v>
      </c>
      <c r="G14" s="40" t="b">
        <v>1</v>
      </c>
      <c r="H14" s="40" t="b">
        <v>1</v>
      </c>
      <c r="I14" s="40" t="b">
        <v>1</v>
      </c>
      <c r="J14" s="40" t="b">
        <v>1</v>
      </c>
      <c r="K14" s="40" t="b">
        <v>1</v>
      </c>
      <c r="L14" s="40" t="b">
        <v>1</v>
      </c>
      <c r="M14" s="33" t="b">
        <v>1</v>
      </c>
      <c r="N14" s="40" t="b">
        <v>1</v>
      </c>
      <c r="O14" s="40" t="b">
        <v>1</v>
      </c>
      <c r="P14" s="40" t="b">
        <v>1</v>
      </c>
      <c r="Q14" s="40" t="b">
        <v>1</v>
      </c>
      <c r="R14" s="40" t="b">
        <v>1</v>
      </c>
      <c r="S14" s="40" t="b">
        <v>1</v>
      </c>
      <c r="T14" s="40" t="b">
        <v>1</v>
      </c>
      <c r="U14" s="40" t="b">
        <v>1</v>
      </c>
      <c r="V14" s="41" t="b">
        <v>1</v>
      </c>
    </row>
    <row r="15" spans="1:26" ht="5.0999999999999996" customHeight="1" x14ac:dyDescent="0.25">
      <c r="C15" s="39"/>
      <c r="D15" s="40"/>
      <c r="E15" s="40"/>
      <c r="F15" s="40"/>
      <c r="G15" s="40"/>
      <c r="H15" s="40"/>
      <c r="I15" s="40"/>
      <c r="J15" s="40"/>
      <c r="K15" s="40"/>
      <c r="L15" s="40"/>
      <c r="M15" s="33"/>
      <c r="N15" s="40"/>
      <c r="O15" s="40"/>
      <c r="P15" s="40"/>
      <c r="Q15" s="40"/>
      <c r="R15" s="40"/>
      <c r="S15" s="40"/>
      <c r="T15" s="40"/>
      <c r="U15" s="40"/>
      <c r="V15" s="41"/>
    </row>
    <row r="16" spans="1:26" x14ac:dyDescent="0.25">
      <c r="A16" t="s">
        <v>4</v>
      </c>
      <c r="C16" s="42">
        <f>C6+D10</f>
        <v>10</v>
      </c>
      <c r="D16" s="23">
        <f t="shared" ref="D16:J16" si="19">D6+E10</f>
        <v>11</v>
      </c>
      <c r="E16" s="23">
        <f>E6+F10</f>
        <v>12</v>
      </c>
      <c r="F16" s="23">
        <f t="shared" si="19"/>
        <v>13</v>
      </c>
      <c r="G16" s="23">
        <f t="shared" si="19"/>
        <v>14</v>
      </c>
      <c r="H16" s="23">
        <f t="shared" si="19"/>
        <v>15</v>
      </c>
      <c r="I16" s="23">
        <f t="shared" si="19"/>
        <v>16</v>
      </c>
      <c r="J16" s="23">
        <f t="shared" si="19"/>
        <v>17</v>
      </c>
      <c r="K16" s="23">
        <f>K6+L10</f>
        <v>29</v>
      </c>
      <c r="L16" s="23">
        <f>SUM(L6:L7)+L9</f>
        <v>30</v>
      </c>
      <c r="M16" s="34">
        <f>M6+N10</f>
        <v>30</v>
      </c>
      <c r="N16" s="23">
        <f t="shared" ref="N16" si="20">N6+O10</f>
        <v>30</v>
      </c>
      <c r="O16" s="23">
        <f>O6+P10</f>
        <v>30</v>
      </c>
      <c r="P16" s="23">
        <f t="shared" ref="P16" si="21">P6+Q10</f>
        <v>30</v>
      </c>
      <c r="Q16" s="23">
        <f t="shared" ref="Q16" si="22">Q6+R10</f>
        <v>30</v>
      </c>
      <c r="R16" s="23">
        <f t="shared" ref="R16" si="23">R6+S10</f>
        <v>30</v>
      </c>
      <c r="S16" s="23">
        <f t="shared" ref="S16" si="24">S6+T10</f>
        <v>30</v>
      </c>
      <c r="T16" s="23">
        <f t="shared" ref="T16" si="25">T6+U10</f>
        <v>30</v>
      </c>
      <c r="U16" s="23">
        <f>U6+V10</f>
        <v>30</v>
      </c>
      <c r="V16" s="43">
        <f>SUM(V6:V7)+V9</f>
        <v>21</v>
      </c>
      <c r="W16" s="2"/>
      <c r="X16" s="2"/>
      <c r="Y16" s="2"/>
      <c r="Z16" s="2"/>
    </row>
    <row r="17" spans="1:26" x14ac:dyDescent="0.25">
      <c r="A17" t="s">
        <v>5</v>
      </c>
      <c r="C17" s="42">
        <f>C9+D6</f>
        <v>11</v>
      </c>
      <c r="D17" s="23">
        <f t="shared" ref="D17:K17" si="26">D9+E6</f>
        <v>12</v>
      </c>
      <c r="E17" s="23">
        <f t="shared" si="26"/>
        <v>13</v>
      </c>
      <c r="F17" s="23">
        <f t="shared" si="26"/>
        <v>14</v>
      </c>
      <c r="G17" s="23">
        <f t="shared" si="26"/>
        <v>15</v>
      </c>
      <c r="H17" s="23">
        <f t="shared" si="26"/>
        <v>16</v>
      </c>
      <c r="I17" s="23">
        <f t="shared" si="26"/>
        <v>17</v>
      </c>
      <c r="J17" s="23">
        <f t="shared" si="26"/>
        <v>18</v>
      </c>
      <c r="K17" s="23">
        <f t="shared" si="26"/>
        <v>19</v>
      </c>
      <c r="L17" s="23">
        <f>SUM(L6:L7)+L9</f>
        <v>30</v>
      </c>
      <c r="M17" s="34">
        <f>M9+N6</f>
        <v>20</v>
      </c>
      <c r="N17" s="23">
        <f t="shared" ref="N17" si="27">N9+O6</f>
        <v>20</v>
      </c>
      <c r="O17" s="23">
        <f t="shared" ref="O17" si="28">O9+P6</f>
        <v>20</v>
      </c>
      <c r="P17" s="23">
        <f t="shared" ref="P17" si="29">P9+Q6</f>
        <v>20</v>
      </c>
      <c r="Q17" s="23">
        <f t="shared" ref="Q17" si="30">Q9+R6</f>
        <v>20</v>
      </c>
      <c r="R17" s="23">
        <f t="shared" ref="R17" si="31">R9+S6</f>
        <v>20</v>
      </c>
      <c r="S17" s="23">
        <f t="shared" ref="S17" si="32">S9+T6</f>
        <v>20</v>
      </c>
      <c r="T17" s="23">
        <f t="shared" ref="T17" si="33">T9+U6</f>
        <v>20</v>
      </c>
      <c r="U17" s="23">
        <f t="shared" ref="U17" si="34">U9+V6</f>
        <v>20</v>
      </c>
      <c r="V17" s="43">
        <f>SUM(V6:V7)+V9</f>
        <v>21</v>
      </c>
      <c r="W17" s="2"/>
      <c r="X17" s="2"/>
      <c r="Y17" s="2"/>
      <c r="Z17" s="2"/>
    </row>
    <row r="18" spans="1:26" x14ac:dyDescent="0.25">
      <c r="A18" t="s">
        <v>10</v>
      </c>
      <c r="C18" s="44">
        <f>C9</f>
        <v>9</v>
      </c>
      <c r="D18" s="45">
        <f t="shared" ref="D18:K18" si="35">D9</f>
        <v>9</v>
      </c>
      <c r="E18" s="45">
        <f t="shared" si="35"/>
        <v>9</v>
      </c>
      <c r="F18" s="45">
        <f t="shared" si="35"/>
        <v>9</v>
      </c>
      <c r="G18" s="45">
        <f t="shared" si="35"/>
        <v>9</v>
      </c>
      <c r="H18" s="45">
        <f t="shared" si="35"/>
        <v>9</v>
      </c>
      <c r="I18" s="45">
        <f t="shared" si="35"/>
        <v>9</v>
      </c>
      <c r="J18" s="45">
        <f t="shared" si="35"/>
        <v>9</v>
      </c>
      <c r="K18" s="45">
        <f t="shared" si="35"/>
        <v>9</v>
      </c>
      <c r="L18" s="45">
        <f>SUM(L6:L7)</f>
        <v>20</v>
      </c>
      <c r="M18" s="46">
        <f>M9</f>
        <v>10</v>
      </c>
      <c r="N18" s="45">
        <f t="shared" ref="N18:U18" si="36">N9</f>
        <v>10</v>
      </c>
      <c r="O18" s="45">
        <f t="shared" si="36"/>
        <v>10</v>
      </c>
      <c r="P18" s="45">
        <f t="shared" si="36"/>
        <v>10</v>
      </c>
      <c r="Q18" s="45">
        <f t="shared" si="36"/>
        <v>10</v>
      </c>
      <c r="R18" s="45">
        <f t="shared" si="36"/>
        <v>10</v>
      </c>
      <c r="S18" s="45">
        <f t="shared" si="36"/>
        <v>10</v>
      </c>
      <c r="T18" s="45">
        <f t="shared" si="36"/>
        <v>10</v>
      </c>
      <c r="U18" s="45">
        <f t="shared" si="36"/>
        <v>10</v>
      </c>
      <c r="V18" s="47">
        <f>SUM(V6:V7)</f>
        <v>20</v>
      </c>
      <c r="W18" s="2"/>
      <c r="X18" s="2"/>
      <c r="Y18" s="2"/>
      <c r="Z18" s="2"/>
    </row>
    <row r="19" spans="1:26" ht="5.0999999999999996" customHeight="1" x14ac:dyDescent="0.25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t="s">
        <v>3</v>
      </c>
      <c r="C20" s="6" cm="1">
        <f t="array" ref="C20">INDEX(C16:C18,MATCH(TRUE,C12:C14,0),0)</f>
        <v>9</v>
      </c>
      <c r="D20" s="6" cm="1">
        <f t="array" ref="D20">INDEX(D16:D18,MATCH(TRUE,D12:D14,0),0)</f>
        <v>9</v>
      </c>
      <c r="E20" s="6" cm="1">
        <f t="array" ref="E20">INDEX(E16:E18,MATCH(TRUE,E12:E14,0),0)</f>
        <v>9</v>
      </c>
      <c r="F20" s="6" cm="1">
        <f t="array" ref="F20">INDEX(F16:F18,MATCH(TRUE,F12:F14,0),0)</f>
        <v>9</v>
      </c>
      <c r="G20" s="6" cm="1">
        <f t="array" ref="G20">INDEX(G16:G18,MATCH(TRUE,G12:G14,0),0)</f>
        <v>9</v>
      </c>
      <c r="H20" s="6" cm="1">
        <f t="array" ref="H20">INDEX(H16:H18,MATCH(TRUE,H12:H14,0),0)</f>
        <v>9</v>
      </c>
      <c r="I20" s="6" cm="1">
        <f t="array" ref="I20">INDEX(I16:I18,MATCH(TRUE,I12:I14,0),0)</f>
        <v>9</v>
      </c>
      <c r="J20" s="6" cm="1">
        <f t="array" ref="J20">INDEX(J16:J18,MATCH(TRUE,J12:J14,0),0)</f>
        <v>9</v>
      </c>
      <c r="K20" s="6" cm="1">
        <f t="array" ref="K20">INDEX(K16:K18,MATCH(TRUE,K12:K14,0),0)</f>
        <v>9</v>
      </c>
      <c r="L20" s="31" cm="1">
        <f t="array" ref="L20">INDEX(L16:L18,MATCH(TRUE,L12:L14,0),0)</f>
        <v>30</v>
      </c>
      <c r="M20" s="32" cm="1">
        <f t="array" ref="M20">INDEX(M16:M18,MATCH(TRUE,M12:M14,0),0)</f>
        <v>30</v>
      </c>
      <c r="N20" s="6" cm="1">
        <f t="array" ref="N20">INDEX(N16:N18,MATCH(TRUE,N12:N14,0),0)</f>
        <v>30</v>
      </c>
      <c r="O20" s="6" cm="1">
        <f t="array" ref="O20">INDEX(O16:O18,MATCH(TRUE,O12:O14,0),0)</f>
        <v>30</v>
      </c>
      <c r="P20" s="6" cm="1">
        <f t="array" ref="P20">INDEX(P16:P18,MATCH(TRUE,P12:P14,0),0)</f>
        <v>30</v>
      </c>
      <c r="Q20" s="6" cm="1">
        <f t="array" ref="Q20">INDEX(Q16:Q18,MATCH(TRUE,Q12:Q14,0),0)</f>
        <v>30</v>
      </c>
      <c r="R20" s="6" cm="1">
        <f t="array" ref="R20">INDEX(R16:R18,MATCH(TRUE,R12:R14,0),0)</f>
        <v>30</v>
      </c>
      <c r="S20" s="6" cm="1">
        <f t="array" ref="S20">INDEX(S16:S18,MATCH(TRUE,S12:S14,0),0)</f>
        <v>30</v>
      </c>
      <c r="T20" s="6" cm="1">
        <f t="array" ref="T20">INDEX(T16:T18,MATCH(TRUE,T12:T14,0),0)</f>
        <v>30</v>
      </c>
      <c r="U20" s="6" cm="1">
        <f t="array" ref="U20">INDEX(U16:U18,MATCH(TRUE,U12:U14,0),0)</f>
        <v>30</v>
      </c>
      <c r="V20" s="6" cm="1">
        <f t="array" ref="V20">INDEX(V16:V18,MATCH(TRUE,V12:V14,0),0)</f>
        <v>21</v>
      </c>
      <c r="W20" s="22"/>
      <c r="X20" s="22"/>
      <c r="Y20" s="22"/>
      <c r="Z20" s="22"/>
    </row>
  </sheetData>
  <mergeCells count="3">
    <mergeCell ref="A6:A8"/>
    <mergeCell ref="C4:L4"/>
    <mergeCell ref="M4:V4"/>
  </mergeCells>
  <hyperlinks>
    <hyperlink ref="C1" r:id="rId1" xr:uid="{E4B092BB-119E-443C-A86F-D659994EBE05}"/>
    <hyperlink ref="C2" r:id="rId2" xr:uid="{574C9712-08DC-4204-8ECD-43B61F638E66}"/>
  </hyperlinks>
  <pageMargins left="0.7" right="0.7" top="0.75" bottom="0.75" header="0.3" footer="0.3"/>
  <ignoredErrors>
    <ignoredError sqref="C9 D9:K9 D10:L10 M9 N10:V10 N9 V13 V18 V16:V17 O9:U9" formulaRange="1"/>
    <ignoredError sqref="L18 L13 L16:L17" formula="1" formulaRange="1"/>
    <ignoredError sqref="L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TRSS,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Niederman</dc:creator>
  <cp:lastModifiedBy>Rob Niederman</cp:lastModifiedBy>
  <dcterms:created xsi:type="dcterms:W3CDTF">2025-07-14T18:45:38Z</dcterms:created>
  <dcterms:modified xsi:type="dcterms:W3CDTF">2025-07-23T11:22:29Z</dcterms:modified>
</cp:coreProperties>
</file>