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C50FD703-969D-455A-AEA9-84A95EEAA000}" xr6:coauthVersionLast="47" xr6:coauthVersionMax="47" xr10:uidLastSave="{00000000-0000-0000-0000-000000000000}"/>
  <bookViews>
    <workbookView xWindow="-120" yWindow="-120" windowWidth="29040" windowHeight="15840" xr2:uid="{A7EF444B-26E0-40B9-879E-784FA734AA47}"/>
  </bookViews>
  <sheets>
    <sheet name="Standard" sheetId="1" r:id="rId1"/>
  </sheets>
  <definedNames>
    <definedName name="solver_adj" localSheetId="0" hidden="1">Standard!$B$2:$C$4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Standard!$B$2:$C$4</definedName>
    <definedName name="solver_lhs2" localSheetId="0" hidden="1">Standard!$B$2:$C$4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Standard!$E$5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4" i="1" l="1"/>
  <c r="E4" i="1" s="1"/>
  <c r="D3" i="1"/>
  <c r="E3" i="1" s="1"/>
  <c r="B5" i="1"/>
  <c r="D2" i="1"/>
  <c r="E2" i="1" l="1"/>
  <c r="E5" i="1" s="1"/>
</calcChain>
</file>

<file path=xl/sharedStrings.xml><?xml version="1.0" encoding="utf-8"?>
<sst xmlns="http://schemas.openxmlformats.org/spreadsheetml/2006/main" count="11" uniqueCount="11">
  <si>
    <t>point</t>
  </si>
  <si>
    <t>A</t>
  </si>
  <si>
    <t>B</t>
  </si>
  <si>
    <t>C</t>
  </si>
  <si>
    <t>X</t>
  </si>
  <si>
    <t>Y</t>
  </si>
  <si>
    <t>https://thefiddler.substack.com/p/can-you-survive-the-floor</t>
  </si>
  <si>
    <t>dist</t>
  </si>
  <si>
    <t>energy</t>
  </si>
  <si>
    <t>https://thefiddler.substack.com/p/can-you-squeeze-the-particles-into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</si>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</sst>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0" borderId="1" xfId="0" applyFill="1" applyBorder="1"/>
    <xf numFmtId="0" fontId="0" fillId="4" borderId="1" xfId="0" applyFill="1" applyBorder="1"/>
    <xf numFmtId="0" fontId="1" fillId="0" borderId="1" xfId="0" applyFont="1" applyFill="1" applyBorder="1"/>
    <xf numFmtId="0" fontId="3" fillId="3" borderId="0" xfId="0" applyFont="1" applyFill="1"/>
    <xf numFmtId="0" fontId="2" fillId="0" borderId="1" xfId="1" applyFill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Standard!$A$2:$A$5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43C1B9A-DD5D-4273-9E9F-AF19230D8B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2C3-46EB-B6CE-DB9686B79A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59F098-9B87-49C1-A225-921F6BF83F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2C3-46EB-B6CE-DB9686B79A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2C65C7-F01B-4EA2-8C45-99D54BCC2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2C3-46EB-B6CE-DB9686B79A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2C3-46EB-B6CE-DB9686B79A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Standard!$B$2:$B$5</c:f>
              <c:numCache>
                <c:formatCode>General</c:formatCode>
                <c:ptCount val="4"/>
                <c:pt idx="0">
                  <c:v>0</c:v>
                </c:pt>
                <c:pt idx="1">
                  <c:v>2.1939966466399705E-4</c:v>
                </c:pt>
                <c:pt idx="2">
                  <c:v>1</c:v>
                </c:pt>
                <c:pt idx="3">
                  <c:v>0</c:v>
                </c:pt>
              </c:numCache>
            </c:numRef>
          </c:xVal>
          <c:yVal>
            <c:numRef>
              <c:f>Standard!$C$2:$C$5</c:f>
              <c:numCache>
                <c:formatCode>General</c:formatCode>
                <c:ptCount val="4"/>
                <c:pt idx="0">
                  <c:v>0.99993387378644494</c:v>
                </c:pt>
                <c:pt idx="1">
                  <c:v>2.518141192251146E-5</c:v>
                </c:pt>
                <c:pt idx="2">
                  <c:v>0.99995646513766778</c:v>
                </c:pt>
                <c:pt idx="3">
                  <c:v>0.99993387378644494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Standard!$A$2:$A$4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825-43BC-8F3F-4E987E1EA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083951"/>
        <c:axId val="704082031"/>
      </c:scatterChart>
      <c:valAx>
        <c:axId val="704083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82031"/>
        <c:crosses val="autoZero"/>
        <c:crossBetween val="midCat"/>
        <c:majorUnit val="0.1"/>
      </c:valAx>
      <c:valAx>
        <c:axId val="7040820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83951"/>
        <c:crosses val="autoZero"/>
        <c:crossBetween val="midCat"/>
      </c:valAx>
      <c:spPr>
        <a:solidFill>
          <a:schemeClr val="bg1">
            <a:lumMod val="75000"/>
            <a:alpha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604837</xdr:colOff>
      <xdr:row>6</xdr:row>
      <xdr:rowOff>14287</xdr:rowOff>
    </xdr:from>
    <xdr:to>
      <xdr:col>13</xdr:col>
      <xdr:colOff>300037</xdr:colOff>
      <xdr:row>30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B51BA9-3260-FB73-DFF1-88BFF37B0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hefiddler.substack.com/p/can-you-survive-the-floor" TargetMode="External"/><Relationship Id="rId1" Type="http://schemas.openxmlformats.org/officeDocument/2006/relationships/hyperlink" Target="https://thefiddler.substack.com/p/can-you-squeeze-the-particles-in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941-E343-4DFF-8376-6999EAE7009E}">
  <dimension ref="A1:N13"/>
  <sheetViews>
    <sheetView tabSelected="1" workbookViewId="0">
      <selection activeCell="C4" sqref="C4"/>
    </sheetView>
  </sheetViews>
  <sheetFormatPr defaultRowHeight="15" x14ac:dyDescent="0.25"/>
  <cols>
    <col min="1" max="1" width="5.7109375" style="2" bestFit="1" customWidth="1"/>
    <col min="2" max="3" width="5" style="2" bestFit="1" customWidth="1"/>
    <col min="4" max="5" width="12" style="2" bestFit="1" customWidth="1"/>
    <col min="6" max="16384" width="9.140625" style="2"/>
  </cols>
  <sheetData>
    <row r="1" spans="1:14" x14ac:dyDescent="0.25">
      <c r="A1" s="5" t="s">
        <v>0</v>
      </c>
      <c r="B1" s="5" t="s">
        <v>4</v>
      </c>
      <c r="C1" s="5" t="s">
        <v>5</v>
      </c>
      <c r="D1" s="5" t="s">
        <v>7</v>
      </c>
      <c r="E1" s="5" t="s">
        <v>8</v>
      </c>
      <c r="H1" s="7" t="s">
        <v>9</v>
      </c>
      <c r="I1" s="8"/>
      <c r="J1" s="8"/>
      <c r="K1" s="8"/>
      <c r="L1" s="8"/>
      <c r="M1" s="8"/>
      <c r="N1" s="8"/>
    </row>
    <row r="2" spans="1:14" x14ac:dyDescent="0.25">
      <c r="A2" s="3" t="s">
        <v>1</v>
      </c>
      <c r="B2" s="4">
        <v>0</v>
      </c>
      <c r="C2" s="4">
        <v>0.99993387378644494</v>
      </c>
      <c r="D2" s="3">
        <f>SQRT((B2-B4)^2+(C2-C4)^2)</f>
        <v>1.0000000002551845</v>
      </c>
      <c r="E2" s="3">
        <f>1/D2</f>
        <v>0.99999999974481546</v>
      </c>
      <c r="H2" s="7" t="s">
        <v>6</v>
      </c>
      <c r="I2" s="8"/>
      <c r="J2" s="8"/>
      <c r="K2" s="8"/>
      <c r="L2" s="8"/>
      <c r="M2" s="8"/>
      <c r="N2" s="8"/>
    </row>
    <row r="3" spans="1:14" x14ac:dyDescent="0.25">
      <c r="A3" s="3" t="s">
        <v>2</v>
      </c>
      <c r="B3" s="4">
        <v>2.1939966466399705E-4</v>
      </c>
      <c r="C3" s="4">
        <v>2.518141192251146E-5</v>
      </c>
      <c r="D3" s="3">
        <f>SQRT((B2-B3)^2+(C2-C3)^2)</f>
        <v>0.99990871644482637</v>
      </c>
      <c r="E3" s="3">
        <f>1/D3</f>
        <v>1.0000912918886218</v>
      </c>
    </row>
    <row r="4" spans="1:14" x14ac:dyDescent="0.25">
      <c r="A4" s="3" t="s">
        <v>3</v>
      </c>
      <c r="B4" s="4">
        <v>1</v>
      </c>
      <c r="C4" s="4">
        <v>0.99995646513766778</v>
      </c>
      <c r="D4" s="3">
        <f>SQRT((B3-B4)^2+(C3-C4)^2)</f>
        <v>1.4140098376532964</v>
      </c>
      <c r="E4" s="3">
        <f>1/D4</f>
        <v>0.70720865822235657</v>
      </c>
    </row>
    <row r="5" spans="1:14" x14ac:dyDescent="0.25">
      <c r="B5" s="6">
        <f>B2</f>
        <v>0</v>
      </c>
      <c r="C5" s="6">
        <f>C2</f>
        <v>0.99993387378644494</v>
      </c>
      <c r="E5" s="1">
        <f>SUM(E2:E4)</f>
        <v>2.7072999498557939</v>
      </c>
    </row>
    <row r="13" spans="1:14" x14ac:dyDescent="0.25">
      <c r="L13" s="2" t="s">
        <v>10</v>
      </c>
    </row>
  </sheetData>
  <mergeCells count="2">
    <mergeCell ref="H1:N1"/>
    <mergeCell ref="H2:N2"/>
  </mergeCells>
  <hyperlinks>
    <hyperlink ref="H1" r:id="rId1" xr:uid="{818AE3BF-F821-4960-BDA9-16C2CF777F5F}"/>
    <hyperlink ref="H2" r:id="rId2" xr:uid="{1E083DD7-137F-4BE4-AFFF-1ECA8C6BA9C2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2024-12-17T17:02:21Z</dcterms:created>
  <dcterms:modified xsi:type="dcterms:W3CDTF">2025-04-15T14:08:55Z</dcterms:modified>
</cp:coreProperties>
</file>