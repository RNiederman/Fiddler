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v\Python_Projects\MC\Fiddlers\"/>
    </mc:Choice>
  </mc:AlternateContent>
  <xr:revisionPtr revIDLastSave="0" documentId="13_ncr:1_{7E7E3B43-68F1-440B-BF23-D7C59D55B08A}" xr6:coauthVersionLast="47" xr6:coauthVersionMax="47" xr10:uidLastSave="{00000000-0000-0000-0000-000000000000}"/>
  <bookViews>
    <workbookView xWindow="-120" yWindow="-120" windowWidth="29040" windowHeight="15840" xr2:uid="{69824668-5F31-4A29-B82F-83E8880C0FDF}"/>
  </bookViews>
  <sheets>
    <sheet name="Part 1- Dome" sheetId="1" r:id="rId1"/>
  </sheets>
  <definedNames>
    <definedName name="solver_adj" localSheetId="0" hidden="1">'Part 1- Dome'!$F$5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'Part 1- Dome'!$F$5</definedName>
    <definedName name="solver_lhs2" localSheetId="0" hidden="1">'Part 1- Dome'!$F$6</definedName>
    <definedName name="solver_lhs3" localSheetId="0" hidden="1">'Part 1- Dome'!$F$7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'Part 1- Dome'!$F$7</definedName>
    <definedName name="solver_pre" localSheetId="0" hidden="1">0.0000001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hs1" localSheetId="0" hidden="1">'Part 1- Dome'!$C$5</definedName>
    <definedName name="solver_rhs2" localSheetId="0" hidden="1">'Part 1- Dome'!$B$6</definedName>
    <definedName name="solver_rhs3" localSheetId="0" hidden="1">'Part 1- Dome'!$B$7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C7" i="1"/>
  <c r="C6" i="1"/>
  <c r="F6" i="1" s="1"/>
  <c r="F7" i="1" l="1"/>
  <c r="F8" i="1" s="1"/>
</calcChain>
</file>

<file path=xl/sharedStrings.xml><?xml version="1.0" encoding="utf-8"?>
<sst xmlns="http://schemas.openxmlformats.org/spreadsheetml/2006/main" count="16" uniqueCount="13">
  <si>
    <r>
      <rPr>
        <sz val="11"/>
        <color theme="1"/>
        <rFont val="Calibri"/>
        <family val="2"/>
      </rPr>
      <t>π</t>
    </r>
    <r>
      <rPr>
        <sz val="11"/>
        <color theme="1"/>
        <rFont val="Calibri"/>
        <family val="2"/>
      </rPr>
      <t>r</t>
    </r>
    <r>
      <rPr>
        <vertAlign val="superscript"/>
        <sz val="11"/>
        <color theme="1"/>
        <rFont val="Calibri"/>
        <family val="2"/>
      </rPr>
      <t>2</t>
    </r>
  </si>
  <si>
    <t>https://thefiddler.substack.com/p/can-you-make-the-biggest-bread-bowl</t>
  </si>
  <si>
    <t>Cylinder</t>
  </si>
  <si>
    <t>Radius</t>
  </si>
  <si>
    <t>Height</t>
  </si>
  <si>
    <r>
      <t>h*πr</t>
    </r>
    <r>
      <rPr>
        <vertAlign val="superscript"/>
        <sz val="11"/>
        <color theme="1"/>
        <rFont val="Calibri"/>
        <family val="2"/>
        <scheme val="minor"/>
      </rPr>
      <t>2</t>
    </r>
  </si>
  <si>
    <t>Circle Area</t>
  </si>
  <si>
    <t>Vol</t>
  </si>
  <si>
    <t>Cylinder Volume</t>
  </si>
  <si>
    <r>
      <t>2/3*πr</t>
    </r>
    <r>
      <rPr>
        <vertAlign val="superscript"/>
        <sz val="11"/>
        <color theme="1"/>
        <rFont val="Calibri"/>
        <family val="2"/>
        <scheme val="minor"/>
      </rPr>
      <t>3</t>
    </r>
  </si>
  <si>
    <t>Dome Volume</t>
  </si>
  <si>
    <t>https://thefiddler.substack.com/p/can-you-solve-the-tricky-mathematical</t>
  </si>
  <si>
    <t>Dome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</si>
</sst>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21">
    <xf numFmtId="0" fontId="0" fillId="0" borderId="0" xfId="0"/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3" xfId="0" applyFill="1" applyBorder="1"/>
    <xf numFmtId="0" fontId="0" fillId="0" borderId="4" xfId="0" applyFill="1" applyBorder="1" applyAlignment="1">
      <alignment horizontal="center"/>
    </xf>
    <xf numFmtId="0" fontId="0" fillId="0" borderId="1" xfId="0" applyFill="1" applyBorder="1"/>
    <xf numFmtId="0" fontId="0" fillId="0" borderId="6" xfId="0" applyFill="1" applyBorder="1" applyAlignment="1">
      <alignment horizontal="center"/>
    </xf>
    <xf numFmtId="0" fontId="0" fillId="0" borderId="8" xfId="0" applyFill="1" applyBorder="1"/>
    <xf numFmtId="0" fontId="2" fillId="0" borderId="1" xfId="0" applyFont="1" applyFill="1" applyBorder="1"/>
    <xf numFmtId="2" fontId="0" fillId="3" borderId="9" xfId="0" applyNumberFormat="1" applyFill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0" fontId="0" fillId="4" borderId="0" xfId="0" applyFill="1" applyAlignment="1"/>
    <xf numFmtId="164" fontId="0" fillId="5" borderId="10" xfId="0" applyNumberFormat="1" applyFill="1" applyBorder="1"/>
    <xf numFmtId="2" fontId="0" fillId="2" borderId="4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10" fontId="0" fillId="6" borderId="10" xfId="2" applyNumberFormat="1" applyFont="1" applyFill="1" applyBorder="1"/>
    <xf numFmtId="0" fontId="5" fillId="0" borderId="1" xfId="1" applyFill="1" applyBorder="1" applyAlignment="1">
      <alignment horizontal="left"/>
    </xf>
    <xf numFmtId="0" fontId="0" fillId="0" borderId="1" xfId="0" applyFill="1" applyBorder="1" applyAlignment="1">
      <alignment horizontal="right"/>
    </xf>
    <xf numFmtId="0" fontId="0" fillId="0" borderId="2" xfId="0" applyFill="1" applyBorder="1" applyAlignment="1">
      <alignment horizontal="center" vertical="center" textRotation="135"/>
    </xf>
    <xf numFmtId="0" fontId="0" fillId="0" borderId="5" xfId="0" applyFill="1" applyBorder="1" applyAlignment="1">
      <alignment horizontal="center" vertical="center" textRotation="135"/>
    </xf>
    <xf numFmtId="0" fontId="0" fillId="0" borderId="7" xfId="0" applyFill="1" applyBorder="1" applyAlignment="1">
      <alignment horizontal="center" vertical="center" textRotation="135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109537</xdr:colOff>
      <xdr:row>9</xdr:row>
      <xdr:rowOff>47625</xdr:rowOff>
    </xdr:from>
    <xdr:ext cx="2109232" cy="4462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EB681CA-7DD3-4436-AF09-191302023FAC}"/>
                </a:ext>
              </a:extLst>
            </xdr:cNvPr>
            <xdr:cNvSpPr txBox="1"/>
          </xdr:nvSpPr>
          <xdr:spPr>
            <a:xfrm>
              <a:off x="109537" y="1876425"/>
              <a:ext cx="2109232" cy="44627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2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280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sz="28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2800" i="0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2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28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28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2800" i="0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n-US" sz="2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280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p>
                        <m:r>
                          <a:rPr lang="en-US" sz="28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EB681CA-7DD3-4436-AF09-191302023FAC}"/>
                </a:ext>
              </a:extLst>
            </xdr:cNvPr>
            <xdr:cNvSpPr txBox="1"/>
          </xdr:nvSpPr>
          <xdr:spPr>
            <a:xfrm>
              <a:off x="109537" y="1876425"/>
              <a:ext cx="2109232" cy="44627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800" i="0">
                  <a:latin typeface="Cambria Math" panose="02040503050406030204" pitchFamily="18" charset="0"/>
                </a:rPr>
                <a:t>𝑅</a:t>
              </a:r>
              <a:r>
                <a:rPr lang="en-US" sz="2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sz="2800" i="0">
                  <a:latin typeface="Cambria Math" panose="02040503050406030204" pitchFamily="18" charset="0"/>
                </a:rPr>
                <a:t>2=𝑟</a:t>
              </a:r>
              <a:r>
                <a:rPr lang="en-US" sz="2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sz="2800" i="0">
                  <a:latin typeface="Cambria Math" panose="02040503050406030204" pitchFamily="18" charset="0"/>
                </a:rPr>
                <a:t>2+ℎ</a:t>
              </a:r>
              <a:r>
                <a:rPr lang="en-US" sz="2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sz="2800" i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100012</xdr:colOff>
      <xdr:row>11</xdr:row>
      <xdr:rowOff>185737</xdr:rowOff>
    </xdr:from>
    <xdr:ext cx="2209387" cy="5504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4DA64A-8215-0C4F-FEE1-9074527F7250}"/>
                </a:ext>
              </a:extLst>
            </xdr:cNvPr>
            <xdr:cNvSpPr txBox="1"/>
          </xdr:nvSpPr>
          <xdr:spPr>
            <a:xfrm>
              <a:off x="100012" y="2395537"/>
              <a:ext cx="2209387" cy="550407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800" i="1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sz="2800" i="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28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28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28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p>
                            <m:r>
                              <a:rPr lang="en-US" sz="28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28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sSup>
                          <m:sSupPr>
                            <m:ctrlPr>
                              <a:rPr lang="en-US" sz="28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28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p>
                            <m:r>
                              <a:rPr lang="en-US" sz="28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n-US" sz="28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4DA64A-8215-0C4F-FEE1-9074527F7250}"/>
                </a:ext>
              </a:extLst>
            </xdr:cNvPr>
            <xdr:cNvSpPr txBox="1"/>
          </xdr:nvSpPr>
          <xdr:spPr>
            <a:xfrm>
              <a:off x="100012" y="2395537"/>
              <a:ext cx="2209387" cy="550407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800" i="0">
                  <a:solidFill>
                    <a:schemeClr val="tx1"/>
                  </a:solidFill>
                  <a:latin typeface="Cambria Math" panose="02040503050406030204" pitchFamily="18" charset="0"/>
                </a:rPr>
                <a:t>ℎ=√(𝑅^2</a:t>
              </a:r>
              <a:r>
                <a:rPr lang="en-US" sz="28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−</a:t>
              </a:r>
              <a:r>
                <a:rPr lang="en-US" sz="2800" i="0">
                  <a:solidFill>
                    <a:schemeClr val="tx1"/>
                  </a:solidFill>
                  <a:latin typeface="Cambria Math" panose="02040503050406030204" pitchFamily="18" charset="0"/>
                </a:rPr>
                <a:t>𝑟^2 )</a:t>
              </a:r>
              <a:endParaRPr lang="en-US" sz="2800"/>
            </a:p>
          </xdr:txBody>
        </xdr:sp>
      </mc:Fallback>
    </mc:AlternateContent>
    <xdr:clientData/>
  </xdr:oneCellAnchor>
  <xdr:twoCellAnchor>
    <xdr:from>
      <xdr:col>6</xdr:col>
      <xdr:colOff>133350</xdr:colOff>
      <xdr:row>4</xdr:row>
      <xdr:rowOff>161925</xdr:rowOff>
    </xdr:from>
    <xdr:to>
      <xdr:col>16</xdr:col>
      <xdr:colOff>491490</xdr:colOff>
      <xdr:row>23</xdr:row>
      <xdr:rowOff>69215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8026BFD-6777-C0D0-4809-9D557AFEA287}"/>
            </a:ext>
          </a:extLst>
        </xdr:cNvPr>
        <xdr:cNvGrpSpPr/>
      </xdr:nvGrpSpPr>
      <xdr:grpSpPr>
        <a:xfrm>
          <a:off x="3257550" y="1019175"/>
          <a:ext cx="5120640" cy="3545840"/>
          <a:chOff x="3257550" y="1019175"/>
          <a:chExt cx="5120640" cy="3545840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2A8CD8A0-EBFE-2608-F20B-C350A899A7C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57550" y="1019175"/>
            <a:ext cx="5120640" cy="3545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3" name="TextBox 12">
                <a:extLst>
                  <a:ext uri="{FF2B5EF4-FFF2-40B4-BE49-F238E27FC236}">
                    <a16:creationId xmlns:a16="http://schemas.microsoft.com/office/drawing/2014/main" id="{A36DBA35-6EC8-AA04-159E-7090BB6D9D53}"/>
                  </a:ext>
                </a:extLst>
              </xdr:cNvPr>
              <xdr:cNvSpPr txBox="1"/>
            </xdr:nvSpPr>
            <xdr:spPr>
              <a:xfrm>
                <a:off x="6958011" y="2819401"/>
                <a:ext cx="233363" cy="31432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n-US" sz="2000" i="1">
                          <a:latin typeface="Cambria Math" panose="02040503050406030204" pitchFamily="18" charset="0"/>
                        </a:rPr>
                        <m:t>h</m:t>
                      </m:r>
                    </m:oMath>
                  </m:oMathPara>
                </a14:m>
                <a:endParaRPr lang="en-US" sz="2000"/>
              </a:p>
            </xdr:txBody>
          </xdr:sp>
        </mc:Choice>
        <mc:Fallback xmlns="">
          <xdr:sp macro="" textlink="">
            <xdr:nvSpPr>
              <xdr:cNvPr id="13" name="TextBox 12">
                <a:extLst>
                  <a:ext uri="{FF2B5EF4-FFF2-40B4-BE49-F238E27FC236}">
                    <a16:creationId xmlns:a16="http://schemas.microsoft.com/office/drawing/2014/main" id="{A36DBA35-6EC8-AA04-159E-7090BB6D9D53}"/>
                  </a:ext>
                </a:extLst>
              </xdr:cNvPr>
              <xdr:cNvSpPr txBox="1"/>
            </xdr:nvSpPr>
            <xdr:spPr>
              <a:xfrm>
                <a:off x="6958011" y="2819401"/>
                <a:ext cx="233363" cy="31432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n-US" sz="2000" i="0">
                    <a:latin typeface="Cambria Math" panose="02040503050406030204" pitchFamily="18" charset="0"/>
                  </a:rPr>
                  <a:t>ℎ</a:t>
                </a:r>
                <a:endParaRPr lang="en-US" sz="2000"/>
              </a:p>
            </xdr:txBody>
          </xdr:sp>
        </mc:Fallback>
      </mc:AlternateContent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4E92D0-6F5C-4A3B-AFBF-A4A8B37B9C84}">
  <we:reference id="wa200001841" version="1.0.0.0" store="en-US" storeType="OMEX"/>
  <we:alternateReferences>
    <we:reference id="wa200001841" version="1.0.0.0" store="wa20000184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thefiddler.substack.com/p/can-you-solve-the-tricky-mathematical" TargetMode="External"/><Relationship Id="rId1" Type="http://schemas.openxmlformats.org/officeDocument/2006/relationships/hyperlink" Target="https://thefiddler.substack.com/p/can-you-make-the-biggest-bread-bow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BF75-B029-4E5C-955F-4109A1F11983}">
  <sheetPr codeName="Sheet1"/>
  <dimension ref="A1:N12"/>
  <sheetViews>
    <sheetView tabSelected="1" workbookViewId="0">
      <selection activeCell="F5" sqref="F5"/>
    </sheetView>
  </sheetViews>
  <sheetFormatPr defaultRowHeight="15" x14ac:dyDescent="0.25"/>
  <cols>
    <col min="1" max="2" width="8.28515625" style="1" customWidth="1"/>
    <col min="3" max="3" width="7.5703125" style="1" bestFit="1" customWidth="1"/>
    <col min="4" max="4" width="8.28515625" style="1" bestFit="1" customWidth="1"/>
    <col min="5" max="5" width="6.85546875" style="1" bestFit="1" customWidth="1"/>
    <col min="6" max="6" width="7.5703125" style="1" bestFit="1" customWidth="1"/>
    <col min="7" max="13" width="6.28515625" style="1" customWidth="1"/>
    <col min="14" max="16384" width="9.140625" style="1"/>
  </cols>
  <sheetData>
    <row r="1" spans="1:14" ht="17.25" x14ac:dyDescent="0.25">
      <c r="A1" s="17" t="s">
        <v>6</v>
      </c>
      <c r="B1" s="17"/>
      <c r="C1" s="8" t="s">
        <v>0</v>
      </c>
      <c r="E1" s="16" t="s">
        <v>1</v>
      </c>
      <c r="F1" s="16"/>
      <c r="G1" s="16"/>
      <c r="H1" s="16"/>
      <c r="I1" s="16"/>
      <c r="J1" s="16"/>
      <c r="K1" s="16"/>
      <c r="L1" s="16"/>
      <c r="M1" s="16"/>
      <c r="N1" s="16"/>
    </row>
    <row r="2" spans="1:14" ht="17.25" x14ac:dyDescent="0.25">
      <c r="A2" s="17" t="s">
        <v>8</v>
      </c>
      <c r="B2" s="17"/>
      <c r="C2" s="5" t="s">
        <v>5</v>
      </c>
      <c r="E2" s="16" t="s">
        <v>11</v>
      </c>
      <c r="F2" s="16"/>
      <c r="G2" s="16"/>
      <c r="H2" s="16"/>
      <c r="I2" s="16"/>
      <c r="J2" s="16"/>
      <c r="K2" s="16"/>
      <c r="L2" s="16"/>
      <c r="M2" s="16"/>
      <c r="N2" s="16"/>
    </row>
    <row r="3" spans="1:14" ht="17.25" x14ac:dyDescent="0.25">
      <c r="A3" s="17" t="s">
        <v>10</v>
      </c>
      <c r="B3" s="17"/>
      <c r="C3" s="5" t="s">
        <v>9</v>
      </c>
    </row>
    <row r="4" spans="1:14" ht="15.75" thickBot="1" x14ac:dyDescent="0.3">
      <c r="A4" s="2"/>
      <c r="B4" s="2"/>
    </row>
    <row r="5" spans="1:14" ht="15" customHeight="1" thickBot="1" x14ac:dyDescent="0.3">
      <c r="A5" s="18" t="s">
        <v>12</v>
      </c>
      <c r="B5" s="3" t="s">
        <v>3</v>
      </c>
      <c r="C5" s="4">
        <v>12</v>
      </c>
      <c r="D5" s="18" t="s">
        <v>2</v>
      </c>
      <c r="E5" s="3" t="s">
        <v>3</v>
      </c>
      <c r="F5" s="13">
        <v>9.79795896696535</v>
      </c>
      <c r="G5" s="12">
        <f>F5/12</f>
        <v>0.81649658058044583</v>
      </c>
    </row>
    <row r="6" spans="1:14" ht="15" customHeight="1" x14ac:dyDescent="0.25">
      <c r="A6" s="19"/>
      <c r="B6" s="5" t="s">
        <v>4</v>
      </c>
      <c r="C6" s="6">
        <f>C5</f>
        <v>12</v>
      </c>
      <c r="D6" s="19"/>
      <c r="E6" s="5" t="s">
        <v>4</v>
      </c>
      <c r="F6" s="14">
        <f>SQRT(C6^2-F5^2)</f>
        <v>6.9282032361690495</v>
      </c>
    </row>
    <row r="7" spans="1:14" ht="15.75" thickBot="1" x14ac:dyDescent="0.3">
      <c r="A7" s="20"/>
      <c r="B7" s="7" t="s">
        <v>7</v>
      </c>
      <c r="C7" s="10">
        <f>2/3*PI()*C5^3</f>
        <v>3619.1147369354412</v>
      </c>
      <c r="D7" s="20"/>
      <c r="E7" s="7" t="s">
        <v>7</v>
      </c>
      <c r="F7" s="9">
        <f>PI()*F5^2*F6</f>
        <v>2089.4968675978189</v>
      </c>
    </row>
    <row r="8" spans="1:14" ht="15.75" thickBot="1" x14ac:dyDescent="0.3">
      <c r="F8" s="15">
        <f>F7/C7</f>
        <v>0.57735026918962584</v>
      </c>
    </row>
    <row r="12" spans="1:14" x14ac:dyDescent="0.25">
      <c r="I12" s="11"/>
    </row>
  </sheetData>
  <mergeCells count="7">
    <mergeCell ref="D5:D7"/>
    <mergeCell ref="A5:A7"/>
    <mergeCell ref="E2:N2"/>
    <mergeCell ref="E1:N1"/>
    <mergeCell ref="A1:B1"/>
    <mergeCell ref="A2:B2"/>
    <mergeCell ref="A3:B3"/>
  </mergeCells>
  <hyperlinks>
    <hyperlink ref="E1" r:id="rId1" xr:uid="{5478F4FA-0E9F-4371-B4C4-DFFBA86F7E73}"/>
    <hyperlink ref="E2" r:id="rId2" xr:uid="{4E6A5CAD-1BB8-4545-A4A9-3FC8D97F8FC3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1- Dome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Niederman</dc:creator>
  <cp:lastModifiedBy>Rob Niederman</cp:lastModifiedBy>
  <dcterms:created xsi:type="dcterms:W3CDTF">2024-10-23T18:26:22Z</dcterms:created>
  <dcterms:modified xsi:type="dcterms:W3CDTF">2024-11-08T13:04:56Z</dcterms:modified>
</cp:coreProperties>
</file>