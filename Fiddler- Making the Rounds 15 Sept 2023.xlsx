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"/>
    </mc:Choice>
  </mc:AlternateContent>
  <xr:revisionPtr revIDLastSave="0" documentId="13_ncr:1_{C5AF6067-F443-4D7D-9A9F-E2B8294F2716}" xr6:coauthVersionLast="47" xr6:coauthVersionMax="47" xr10:uidLastSave="{00000000-0000-0000-0000-000000000000}"/>
  <bookViews>
    <workbookView xWindow="-110" yWindow="-110" windowWidth="19420" windowHeight="10420" xr2:uid="{2021039A-3C71-4CD0-92E3-1596A679353A}"/>
  </bookViews>
  <sheets>
    <sheet name="Sheet1" sheetId="1" r:id="rId1"/>
  </sheets>
  <definedNames>
    <definedName name="solver_adj" localSheetId="0" hidden="1">Sheet1!$J$4:$O$4,Sheet1!$I$5:$I$10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Sheet1!$I$5:$I$10</definedName>
    <definedName name="solver_lhs10" localSheetId="0" hidden="1">Sheet1!#REF!</definedName>
    <definedName name="solver_lhs11" localSheetId="0" hidden="1">Sheet1!#REF!</definedName>
    <definedName name="solver_lhs2" localSheetId="0" hidden="1">Sheet1!$I$5:$I$10</definedName>
    <definedName name="solver_lhs3" localSheetId="0" hidden="1">Sheet1!$I$5:$I$10</definedName>
    <definedName name="solver_lhs4" localSheetId="0" hidden="1">Sheet1!$J$4:$O$4</definedName>
    <definedName name="solver_lhs5" localSheetId="0" hidden="1">Sheet1!$J$4:$O$4</definedName>
    <definedName name="solver_lhs6" localSheetId="0" hidden="1">Sheet1!$J$4:$O$4</definedName>
    <definedName name="solver_lhs7" localSheetId="0" hidden="1">Sheet1!$J$5:$O$10</definedName>
    <definedName name="solver_lhs8" localSheetId="0" hidden="1">Sheet1!$J$5:$O$10</definedName>
    <definedName name="solver_lhs9" localSheetId="0" hidden="1">Sheet1!#REF!</definedName>
    <definedName name="solver_mip" localSheetId="0" hidden="1">2147483647</definedName>
    <definedName name="solver_mni" localSheetId="0" hidden="1">180</definedName>
    <definedName name="solver_mrt" localSheetId="0" hidden="1">0.185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Sheet1!$T$16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2</definedName>
    <definedName name="solver_rel11" localSheetId="0" hidden="1">2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el5" localSheetId="0" hidden="1">4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2</definedName>
    <definedName name="solver_rhs1" localSheetId="0" hidden="1">11</definedName>
    <definedName name="solver_rhs10" localSheetId="0" hidden="1">0</definedName>
    <definedName name="solver_rhs11" localSheetId="0" hidden="1">0</definedName>
    <definedName name="solver_rhs2" localSheetId="0" hidden="1">"integer"</definedName>
    <definedName name="solver_rhs3" localSheetId="0" hidden="1">1</definedName>
    <definedName name="solver_rhs4" localSheetId="0" hidden="1">4</definedName>
    <definedName name="solver_rhs5" localSheetId="0" hidden="1">"integer"</definedName>
    <definedName name="solver_rhs6" localSheetId="0" hidden="1">1</definedName>
    <definedName name="solver_rhs7" localSheetId="0" hidden="1">12</definedName>
    <definedName name="solver_rhs8" localSheetId="0" hidden="1">2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B6" i="1"/>
  <c r="B7" i="1"/>
  <c r="B8" i="1"/>
  <c r="B9" i="1"/>
  <c r="B10" i="1"/>
  <c r="B5" i="1"/>
  <c r="R13" i="1" s="1"/>
  <c r="R12" i="1" l="1"/>
  <c r="R11" i="1"/>
  <c r="R10" i="1"/>
  <c r="R9" i="1"/>
  <c r="R8" i="1"/>
  <c r="R15" i="1"/>
  <c r="R7" i="1"/>
  <c r="R14" i="1"/>
  <c r="R6" i="1"/>
  <c r="K8" i="1"/>
  <c r="L10" i="1"/>
  <c r="N7" i="1"/>
  <c r="M9" i="1"/>
  <c r="O7" i="1"/>
  <c r="L5" i="1"/>
  <c r="L9" i="1"/>
  <c r="L6" i="1"/>
  <c r="L7" i="1"/>
  <c r="M8" i="1"/>
  <c r="N10" i="1"/>
  <c r="M10" i="1"/>
  <c r="K10" i="1"/>
  <c r="N5" i="1"/>
  <c r="J5" i="1"/>
  <c r="K7" i="1"/>
  <c r="K9" i="1"/>
  <c r="K6" i="1"/>
  <c r="O8" i="1"/>
  <c r="O5" i="1"/>
  <c r="O6" i="1"/>
  <c r="O10" i="1"/>
  <c r="M5" i="1"/>
  <c r="M7" i="1"/>
  <c r="O9" i="1"/>
  <c r="L8" i="1"/>
  <c r="N6" i="1"/>
  <c r="K5" i="1"/>
  <c r="N9" i="1"/>
  <c r="M6" i="1"/>
  <c r="N8" i="1"/>
  <c r="J7" i="1"/>
  <c r="J10" i="1"/>
  <c r="J8" i="1"/>
  <c r="J6" i="1"/>
  <c r="J9" i="1"/>
  <c r="R5" i="1"/>
  <c r="S10" i="1" l="1"/>
  <c r="T10" i="1" s="1"/>
  <c r="S15" i="1"/>
  <c r="T15" i="1" s="1"/>
  <c r="S12" i="1"/>
  <c r="T12" i="1" s="1"/>
  <c r="S13" i="1"/>
  <c r="T13" i="1" s="1"/>
  <c r="S6" i="1"/>
  <c r="T6" i="1" s="1"/>
  <c r="S5" i="1"/>
  <c r="T5" i="1" s="1"/>
  <c r="S7" i="1"/>
  <c r="T7" i="1" s="1"/>
  <c r="S8" i="1"/>
  <c r="T8" i="1" s="1"/>
  <c r="S9" i="1"/>
  <c r="T9" i="1" s="1"/>
  <c r="S11" i="1"/>
  <c r="T11" i="1" s="1"/>
  <c r="S14" i="1"/>
  <c r="T14" i="1" s="1"/>
  <c r="T16" i="1" l="1"/>
</calcChain>
</file>

<file path=xl/sharedStrings.xml><?xml version="1.0" encoding="utf-8"?>
<sst xmlns="http://schemas.openxmlformats.org/spreadsheetml/2006/main" count="6" uniqueCount="6">
  <si>
    <t>New</t>
  </si>
  <si>
    <t>Δ</t>
  </si>
  <si>
    <t>https://www.youtube.com/watch?v=urOkfsIRFlw</t>
  </si>
  <si>
    <t>https://thefiddler.substack.com/p/how-likely-is-a-lopsided-league</t>
  </si>
  <si>
    <t>Old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</si>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</sst>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4" borderId="0" xfId="0" applyFill="1"/>
    <xf numFmtId="0" fontId="2" fillId="4" borderId="0" xfId="1" applyFill="1"/>
    <xf numFmtId="0" fontId="0" fillId="4" borderId="0" xfId="0" applyFill="1" applyAlignment="1"/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" fillId="6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Sheet1!$R$4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Sheet1!$Q$5:$Q$15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Sheet1!$R$5:$R$15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1-44C1-8EE3-EB2DF6C58524}"/>
            </c:ext>
          </c:extLst>
        </c:ser>
        <c:ser>
          <c:idx val="2"/>
          <c:order val="1"/>
          <c:tx>
            <c:strRef>
              <c:f>Sheet1!$S$4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Sheet1!$Q$5:$Q$15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Sheet1!$S$5:$S$15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1-44C1-8EE3-EB2DF6C58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77455"/>
        <c:axId val="1047347135"/>
      </c:barChart>
      <c:catAx>
        <c:axId val="5277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47135"/>
        <c:crosses val="autoZero"/>
        <c:auto val="1"/>
        <c:lblAlgn val="ctr"/>
        <c:lblOffset val="100"/>
        <c:noMultiLvlLbl val="0"/>
      </c:catAx>
      <c:valAx>
        <c:axId val="10473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104774</xdr:colOff>
      <xdr:row>1</xdr:row>
      <xdr:rowOff>66674</xdr:rowOff>
    </xdr:from>
    <xdr:to>
      <xdr:col>35</xdr:col>
      <xdr:colOff>463549</xdr:colOff>
      <xdr:row>20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F4102-DB75-342C-E64A-76F9FFC16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urOkfsIRFlw" TargetMode="External"/><Relationship Id="rId1" Type="http://schemas.openxmlformats.org/officeDocument/2006/relationships/hyperlink" Target="https://thefiddler.substack.com/p/how-likely-is-a-lopsided-leagu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634B-2BD5-4A84-8812-F991D93BBBA6}">
  <dimension ref="A1:AD16"/>
  <sheetViews>
    <sheetView tabSelected="1" workbookViewId="0">
      <selection activeCell="K7" sqref="K7"/>
    </sheetView>
  </sheetViews>
  <sheetFormatPr defaultColWidth="8.7265625" defaultRowHeight="14.5" x14ac:dyDescent="0.35"/>
  <cols>
    <col min="1" max="7" width="2.81640625" style="2" customWidth="1"/>
    <col min="8" max="8" width="4.54296875" style="2" customWidth="1"/>
    <col min="9" max="15" width="2.81640625" style="2" customWidth="1"/>
    <col min="16" max="16" width="4.54296875" style="2" customWidth="1"/>
    <col min="17" max="17" width="3.81640625" style="2" bestFit="1" customWidth="1"/>
    <col min="18" max="18" width="3.7265625" style="2" bestFit="1" customWidth="1"/>
    <col min="19" max="20" width="4.54296875" style="2" customWidth="1"/>
    <col min="21" max="21" width="2.81640625" style="2" customWidth="1"/>
    <col min="22" max="23" width="4.54296875" style="2" customWidth="1"/>
    <col min="24" max="30" width="1.81640625" style="2" bestFit="1" customWidth="1"/>
    <col min="31" max="16384" width="8.7265625" style="2"/>
  </cols>
  <sheetData>
    <row r="1" spans="1:30" x14ac:dyDescent="0.35">
      <c r="B1" s="3" t="s">
        <v>3</v>
      </c>
    </row>
    <row r="2" spans="1:30" x14ac:dyDescent="0.35">
      <c r="B2" s="3" t="s">
        <v>2</v>
      </c>
    </row>
    <row r="3" spans="1:30" x14ac:dyDescent="0.35">
      <c r="B3" s="3"/>
    </row>
    <row r="4" spans="1:30" x14ac:dyDescent="0.35">
      <c r="A4" s="4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I4" s="4"/>
      <c r="J4" s="10">
        <v>2</v>
      </c>
      <c r="K4" s="10">
        <v>3</v>
      </c>
      <c r="L4" s="10">
        <v>2</v>
      </c>
      <c r="M4" s="10">
        <v>1</v>
      </c>
      <c r="N4" s="10">
        <v>3</v>
      </c>
      <c r="O4" s="10">
        <v>4</v>
      </c>
      <c r="Q4" s="6" t="s">
        <v>5</v>
      </c>
      <c r="R4" s="6" t="s">
        <v>4</v>
      </c>
      <c r="S4" s="6" t="s">
        <v>0</v>
      </c>
      <c r="T4" s="6" t="s">
        <v>1</v>
      </c>
      <c r="X4" s="8">
        <v>1</v>
      </c>
      <c r="Y4" s="8">
        <v>2</v>
      </c>
      <c r="Z4" s="8">
        <v>2</v>
      </c>
      <c r="AA4" s="8">
        <v>3</v>
      </c>
      <c r="AB4" s="8">
        <v>3</v>
      </c>
      <c r="AC4" s="8">
        <v>4</v>
      </c>
      <c r="AD4" s="9"/>
    </row>
    <row r="5" spans="1:30" x14ac:dyDescent="0.35">
      <c r="A5" s="1">
        <v>1</v>
      </c>
      <c r="B5" s="5">
        <f>$A5+B$4</f>
        <v>2</v>
      </c>
      <c r="C5" s="5">
        <f t="shared" ref="C5:G5" si="0">$A5+C$4</f>
        <v>3</v>
      </c>
      <c r="D5" s="5">
        <f t="shared" si="0"/>
        <v>4</v>
      </c>
      <c r="E5" s="5">
        <f t="shared" si="0"/>
        <v>5</v>
      </c>
      <c r="F5" s="5">
        <f t="shared" si="0"/>
        <v>6</v>
      </c>
      <c r="G5" s="5">
        <f t="shared" si="0"/>
        <v>7</v>
      </c>
      <c r="I5" s="10">
        <v>7</v>
      </c>
      <c r="J5" s="5">
        <f t="shared" ref="J5:O9" si="1">$I5+J$4</f>
        <v>9</v>
      </c>
      <c r="K5" s="5">
        <f t="shared" si="1"/>
        <v>10</v>
      </c>
      <c r="L5" s="5">
        <f t="shared" si="1"/>
        <v>9</v>
      </c>
      <c r="M5" s="5">
        <f t="shared" si="1"/>
        <v>8</v>
      </c>
      <c r="N5" s="5">
        <f t="shared" si="1"/>
        <v>10</v>
      </c>
      <c r="O5" s="5">
        <f t="shared" si="1"/>
        <v>11</v>
      </c>
      <c r="Q5" s="5">
        <v>2</v>
      </c>
      <c r="R5" s="5">
        <f>COUNTIF($B$5:$G$10,Q5)</f>
        <v>1</v>
      </c>
      <c r="S5" s="5">
        <f>COUNTIF($J$5:$O$10,Q5)</f>
        <v>1</v>
      </c>
      <c r="T5" s="5">
        <f>S5-R5</f>
        <v>0</v>
      </c>
      <c r="W5" s="8">
        <v>1</v>
      </c>
    </row>
    <row r="6" spans="1:30" x14ac:dyDescent="0.35">
      <c r="A6" s="1">
        <v>2</v>
      </c>
      <c r="B6" s="5">
        <f t="shared" ref="B6:G10" si="2">$A6+B$4</f>
        <v>3</v>
      </c>
      <c r="C6" s="5">
        <f t="shared" si="2"/>
        <v>4</v>
      </c>
      <c r="D6" s="5">
        <f t="shared" si="2"/>
        <v>5</v>
      </c>
      <c r="E6" s="5">
        <f t="shared" si="2"/>
        <v>6</v>
      </c>
      <c r="F6" s="5">
        <f t="shared" si="2"/>
        <v>7</v>
      </c>
      <c r="G6" s="5">
        <f t="shared" si="2"/>
        <v>8</v>
      </c>
      <c r="I6" s="10">
        <v>9</v>
      </c>
      <c r="J6" s="5">
        <f t="shared" si="1"/>
        <v>11</v>
      </c>
      <c r="K6" s="5">
        <f t="shared" si="1"/>
        <v>12</v>
      </c>
      <c r="L6" s="5">
        <f t="shared" si="1"/>
        <v>11</v>
      </c>
      <c r="M6" s="5">
        <f t="shared" si="1"/>
        <v>10</v>
      </c>
      <c r="N6" s="5">
        <f t="shared" si="1"/>
        <v>12</v>
      </c>
      <c r="O6" s="5">
        <f t="shared" si="1"/>
        <v>13</v>
      </c>
      <c r="Q6" s="5">
        <v>3</v>
      </c>
      <c r="R6" s="5">
        <f t="shared" ref="R6:R15" si="3">COUNTIF($B$5:$G$10,Q6)</f>
        <v>2</v>
      </c>
      <c r="S6" s="5">
        <f t="shared" ref="S6:S15" si="4">COUNTIF($J$5:$O$10,Q6)</f>
        <v>3</v>
      </c>
      <c r="T6" s="5">
        <f t="shared" ref="T6:T15" si="5">S6-R6</f>
        <v>1</v>
      </c>
      <c r="W6" s="8">
        <v>3</v>
      </c>
    </row>
    <row r="7" spans="1:30" x14ac:dyDescent="0.35">
      <c r="A7" s="1">
        <v>3</v>
      </c>
      <c r="B7" s="5">
        <f t="shared" si="2"/>
        <v>4</v>
      </c>
      <c r="C7" s="5">
        <f t="shared" si="2"/>
        <v>5</v>
      </c>
      <c r="D7" s="5">
        <f t="shared" si="2"/>
        <v>6</v>
      </c>
      <c r="E7" s="5">
        <f t="shared" si="2"/>
        <v>7</v>
      </c>
      <c r="F7" s="5">
        <f t="shared" si="2"/>
        <v>8</v>
      </c>
      <c r="G7" s="5">
        <f t="shared" si="2"/>
        <v>9</v>
      </c>
      <c r="I7" s="10">
        <v>3</v>
      </c>
      <c r="J7" s="5">
        <f t="shared" si="1"/>
        <v>5</v>
      </c>
      <c r="K7" s="5">
        <f t="shared" si="1"/>
        <v>6</v>
      </c>
      <c r="L7" s="5">
        <f t="shared" si="1"/>
        <v>5</v>
      </c>
      <c r="M7" s="5">
        <f t="shared" si="1"/>
        <v>4</v>
      </c>
      <c r="N7" s="5">
        <f t="shared" si="1"/>
        <v>6</v>
      </c>
      <c r="O7" s="5">
        <f t="shared" si="1"/>
        <v>7</v>
      </c>
      <c r="Q7" s="5">
        <v>4</v>
      </c>
      <c r="R7" s="5">
        <f t="shared" si="3"/>
        <v>3</v>
      </c>
      <c r="S7" s="5">
        <f t="shared" si="4"/>
        <v>5</v>
      </c>
      <c r="T7" s="5">
        <f t="shared" si="5"/>
        <v>2</v>
      </c>
      <c r="W7" s="8">
        <v>4</v>
      </c>
    </row>
    <row r="8" spans="1:30" x14ac:dyDescent="0.35">
      <c r="A8" s="1">
        <v>4</v>
      </c>
      <c r="B8" s="5">
        <f t="shared" si="2"/>
        <v>5</v>
      </c>
      <c r="C8" s="5">
        <f t="shared" si="2"/>
        <v>6</v>
      </c>
      <c r="D8" s="5">
        <f t="shared" si="2"/>
        <v>7</v>
      </c>
      <c r="E8" s="5">
        <f t="shared" si="2"/>
        <v>8</v>
      </c>
      <c r="F8" s="5">
        <f t="shared" si="2"/>
        <v>9</v>
      </c>
      <c r="G8" s="5">
        <f t="shared" si="2"/>
        <v>10</v>
      </c>
      <c r="I8" s="10">
        <v>2</v>
      </c>
      <c r="J8" s="5">
        <f t="shared" si="1"/>
        <v>4</v>
      </c>
      <c r="K8" s="5">
        <f t="shared" si="1"/>
        <v>5</v>
      </c>
      <c r="L8" s="5">
        <f t="shared" si="1"/>
        <v>4</v>
      </c>
      <c r="M8" s="5">
        <f t="shared" si="1"/>
        <v>3</v>
      </c>
      <c r="N8" s="5">
        <f t="shared" si="1"/>
        <v>5</v>
      </c>
      <c r="O8" s="5">
        <f t="shared" si="1"/>
        <v>6</v>
      </c>
      <c r="Q8" s="5">
        <v>5</v>
      </c>
      <c r="R8" s="5">
        <f t="shared" si="3"/>
        <v>4</v>
      </c>
      <c r="S8" s="5">
        <f t="shared" si="4"/>
        <v>5</v>
      </c>
      <c r="T8" s="5">
        <f t="shared" si="5"/>
        <v>1</v>
      </c>
      <c r="W8" s="8">
        <v>5</v>
      </c>
    </row>
    <row r="9" spans="1:30" x14ac:dyDescent="0.35">
      <c r="A9" s="1">
        <v>5</v>
      </c>
      <c r="B9" s="5">
        <f t="shared" si="2"/>
        <v>6</v>
      </c>
      <c r="C9" s="5">
        <f t="shared" si="2"/>
        <v>7</v>
      </c>
      <c r="D9" s="5">
        <f t="shared" si="2"/>
        <v>8</v>
      </c>
      <c r="E9" s="5">
        <f t="shared" si="2"/>
        <v>9</v>
      </c>
      <c r="F9" s="5">
        <f t="shared" si="2"/>
        <v>10</v>
      </c>
      <c r="G9" s="5">
        <f t="shared" si="2"/>
        <v>11</v>
      </c>
      <c r="I9" s="10">
        <v>1</v>
      </c>
      <c r="J9" s="5">
        <f t="shared" si="1"/>
        <v>3</v>
      </c>
      <c r="K9" s="5">
        <f t="shared" si="1"/>
        <v>4</v>
      </c>
      <c r="L9" s="5">
        <f t="shared" si="1"/>
        <v>3</v>
      </c>
      <c r="M9" s="5">
        <f t="shared" si="1"/>
        <v>2</v>
      </c>
      <c r="N9" s="5">
        <f t="shared" si="1"/>
        <v>4</v>
      </c>
      <c r="O9" s="5">
        <f t="shared" si="1"/>
        <v>5</v>
      </c>
      <c r="Q9" s="5">
        <v>6</v>
      </c>
      <c r="R9" s="5">
        <f t="shared" si="3"/>
        <v>5</v>
      </c>
      <c r="S9" s="5">
        <f t="shared" si="4"/>
        <v>4</v>
      </c>
      <c r="T9" s="5">
        <f t="shared" si="5"/>
        <v>-1</v>
      </c>
      <c r="W9" s="8">
        <v>6</v>
      </c>
    </row>
    <row r="10" spans="1:30" x14ac:dyDescent="0.35">
      <c r="A10" s="1">
        <v>6</v>
      </c>
      <c r="B10" s="5">
        <f t="shared" si="2"/>
        <v>7</v>
      </c>
      <c r="C10" s="5">
        <f t="shared" si="2"/>
        <v>8</v>
      </c>
      <c r="D10" s="5">
        <f t="shared" si="2"/>
        <v>9</v>
      </c>
      <c r="E10" s="5">
        <f t="shared" si="2"/>
        <v>10</v>
      </c>
      <c r="F10" s="5">
        <f t="shared" si="2"/>
        <v>11</v>
      </c>
      <c r="G10" s="5">
        <f t="shared" si="2"/>
        <v>12</v>
      </c>
      <c r="I10" s="10">
        <v>5</v>
      </c>
      <c r="J10" s="5">
        <f>$I10+J$4</f>
        <v>7</v>
      </c>
      <c r="K10" s="5">
        <f t="shared" ref="K10:O10" si="6">$I10+K$4</f>
        <v>8</v>
      </c>
      <c r="L10" s="5">
        <f t="shared" si="6"/>
        <v>7</v>
      </c>
      <c r="M10" s="5">
        <f t="shared" si="6"/>
        <v>6</v>
      </c>
      <c r="N10" s="5">
        <f t="shared" si="6"/>
        <v>8</v>
      </c>
      <c r="O10" s="5">
        <f t="shared" si="6"/>
        <v>9</v>
      </c>
      <c r="Q10" s="5">
        <v>7</v>
      </c>
      <c r="R10" s="5">
        <f t="shared" si="3"/>
        <v>6</v>
      </c>
      <c r="S10" s="5">
        <f t="shared" si="4"/>
        <v>3</v>
      </c>
      <c r="T10" s="5">
        <f t="shared" si="5"/>
        <v>-3</v>
      </c>
      <c r="W10" s="8">
        <v>8</v>
      </c>
    </row>
    <row r="11" spans="1:30" x14ac:dyDescent="0.35">
      <c r="Q11" s="5">
        <v>8</v>
      </c>
      <c r="R11" s="5">
        <f t="shared" si="3"/>
        <v>5</v>
      </c>
      <c r="S11" s="5">
        <f t="shared" si="4"/>
        <v>3</v>
      </c>
      <c r="T11" s="5">
        <f t="shared" si="5"/>
        <v>-2</v>
      </c>
    </row>
    <row r="12" spans="1:30" x14ac:dyDescent="0.35">
      <c r="Q12" s="5">
        <v>9</v>
      </c>
      <c r="R12" s="5">
        <f t="shared" si="3"/>
        <v>4</v>
      </c>
      <c r="S12" s="5">
        <f t="shared" si="4"/>
        <v>3</v>
      </c>
      <c r="T12" s="5">
        <f t="shared" si="5"/>
        <v>-1</v>
      </c>
    </row>
    <row r="13" spans="1:30" x14ac:dyDescent="0.35">
      <c r="Q13" s="5">
        <v>10</v>
      </c>
      <c r="R13" s="5">
        <f t="shared" si="3"/>
        <v>3</v>
      </c>
      <c r="S13" s="5">
        <f t="shared" si="4"/>
        <v>3</v>
      </c>
      <c r="T13" s="5">
        <f t="shared" si="5"/>
        <v>0</v>
      </c>
    </row>
    <row r="14" spans="1:30" x14ac:dyDescent="0.35">
      <c r="Q14" s="5">
        <v>11</v>
      </c>
      <c r="R14" s="5">
        <f t="shared" si="3"/>
        <v>2</v>
      </c>
      <c r="S14" s="5">
        <f t="shared" si="4"/>
        <v>3</v>
      </c>
      <c r="T14" s="5">
        <f t="shared" si="5"/>
        <v>1</v>
      </c>
    </row>
    <row r="15" spans="1:30" x14ac:dyDescent="0.35">
      <c r="Q15" s="5">
        <v>12</v>
      </c>
      <c r="R15" s="5">
        <f t="shared" si="3"/>
        <v>1</v>
      </c>
      <c r="S15" s="5">
        <f t="shared" si="4"/>
        <v>2</v>
      </c>
      <c r="T15" s="5">
        <f t="shared" si="5"/>
        <v>1</v>
      </c>
    </row>
    <row r="16" spans="1:30" x14ac:dyDescent="0.35">
      <c r="T16" s="7">
        <f>VAR(T5:T15)</f>
        <v>2.290909090909091</v>
      </c>
    </row>
  </sheetData>
  <sortState xmlns:xlrd2="http://schemas.microsoft.com/office/spreadsheetml/2017/richdata2" columnSort="1" ref="J4:O4">
    <sortCondition ref="J4:O4"/>
  </sortState>
  <conditionalFormatting sqref="T5:T15">
    <cfRule type="cellIs" dxfId="0" priority="1" operator="notEqual">
      <formula>0</formula>
    </cfRule>
  </conditionalFormatting>
  <hyperlinks>
    <hyperlink ref="B1" r:id="rId1" xr:uid="{08FDF88E-346C-45AA-9973-2BC5BB2778DE}"/>
    <hyperlink ref="B2" r:id="rId2" xr:uid="{3CED0EF3-E694-4282-8E07-BB831E237FC0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2023-09-19T19:02:26Z</dcterms:created>
  <dcterms:modified xsi:type="dcterms:W3CDTF">2023-12-22T23:19:29Z</dcterms:modified>
</cp:coreProperties>
</file>