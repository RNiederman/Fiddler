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E4B7BE48-33DE-4FA6-83FE-A0EF7122CDD7}" xr6:coauthVersionLast="47" xr6:coauthVersionMax="47" xr10:uidLastSave="{00000000-0000-0000-0000-000000000000}"/>
  <bookViews>
    <workbookView minimized="1" xWindow="2295" yWindow="2295" windowWidth="21600" windowHeight="11265" activeTab="2" xr2:uid="{51C00F69-D89E-4ABF-B95E-371BC62D63DE}"/>
  </bookViews>
  <sheets>
    <sheet name="Trapezoid" sheetId="1" r:id="rId1"/>
    <sheet name="Working" sheetId="3" r:id="rId2"/>
    <sheet name="Quadrilateral" sheetId="2" r:id="rId3"/>
    <sheet name="Solved" sheetId="4" r:id="rId4"/>
  </sheets>
  <definedNames>
    <definedName name="solver_adj" localSheetId="2" hidden="1">Quadrilateral!$B$6:$C$9</definedName>
    <definedName name="solver_adj" localSheetId="3" hidden="1">Solved!$B$6:$C$9</definedName>
    <definedName name="solver_adj" localSheetId="0" hidden="1">Trapezoid!$B$8:$C$8</definedName>
    <definedName name="solver_adj" localSheetId="1" hidden="1">Working!$B$10:$C$10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2</definedName>
    <definedName name="solver_drv" localSheetId="3" hidden="1">2</definedName>
    <definedName name="solver_drv" localSheetId="0" hidden="1">2</definedName>
    <definedName name="solver_drv" localSheetId="1" hidden="1">1</definedName>
    <definedName name="solver_eng" localSheetId="2" hidden="1">1</definedName>
    <definedName name="solver_eng" localSheetId="3" hidden="1">1</definedName>
    <definedName name="solver_eng" localSheetId="0" hidden="1">1</definedName>
    <definedName name="solver_eng" localSheetId="1" hidden="1">1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12</definedName>
    <definedName name="solver_itr" localSheetId="1" hidden="1">2147483647</definedName>
    <definedName name="solver_lhs1" localSheetId="2" hidden="1">Quadrilateral!$B$6:$B$9</definedName>
    <definedName name="solver_lhs1" localSheetId="3" hidden="1">Solved!$B$6:$B$9</definedName>
    <definedName name="solver_lhs1" localSheetId="0" hidden="1">Trapezoid!$B$8:$C$8</definedName>
    <definedName name="solver_lhs1" localSheetId="1" hidden="1">Working!$B$10:$C$10</definedName>
    <definedName name="solver_lhs2" localSheetId="2" hidden="1">Quadrilateral!$B$6:$B$9</definedName>
    <definedName name="solver_lhs2" localSheetId="3" hidden="1">Solved!$B$6:$B$9</definedName>
    <definedName name="solver_lhs2" localSheetId="0" hidden="1">Trapezoid!$B$8:$C$8</definedName>
    <definedName name="solver_lhs2" localSheetId="1" hidden="1">Working!$B$10:$C$10</definedName>
    <definedName name="solver_lhs3" localSheetId="2" hidden="1">Quadrilateral!$C$6:$C$9</definedName>
    <definedName name="solver_lhs3" localSheetId="3" hidden="1">Solved!$C$6:$C$9</definedName>
    <definedName name="solver_lhs3" localSheetId="0" hidden="1">Trapezoid!$E$6:$E$9</definedName>
    <definedName name="solver_lhs3" localSheetId="1" hidden="1">Working!#REF!</definedName>
    <definedName name="solver_lhs4" localSheetId="2" hidden="1">Quadrilateral!$C$6:$C$9</definedName>
    <definedName name="solver_lhs4" localSheetId="3" hidden="1">Solved!$C$6:$C$9</definedName>
    <definedName name="solver_lhs4" localSheetId="0" hidden="1">Trapezoid!$E$9</definedName>
    <definedName name="solver_lhs5" localSheetId="2" hidden="1">Quadrilateral!$E$6:$E$9</definedName>
    <definedName name="solver_lhs5" localSheetId="3" hidden="1">Solved!$E$6:$E$9</definedName>
    <definedName name="solver_lhs6" localSheetId="2" hidden="1">Quadrilateral!$G$10</definedName>
    <definedName name="solver_lhs6" localSheetId="3" hidden="1">Solved!$G$10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240</definedName>
    <definedName name="solver_mni" localSheetId="3" hidden="1">240</definedName>
    <definedName name="solver_mni" localSheetId="0" hidden="1">30</definedName>
    <definedName name="solver_mni" localSheetId="1" hidden="1">30</definedName>
    <definedName name="solver_mrt" localSheetId="2" hidden="1">0.4</definedName>
    <definedName name="solver_mrt" localSheetId="3" hidden="1">0.4</definedName>
    <definedName name="solver_mrt" localSheetId="0" hidden="1">0.075</definedName>
    <definedName name="solver_mrt" localSheetId="1" hidden="1">0.075</definedName>
    <definedName name="solver_msl" localSheetId="2" hidden="1">1</definedName>
    <definedName name="solver_msl" localSheetId="3" hidden="1">1</definedName>
    <definedName name="solver_msl" localSheetId="0" hidden="1">2</definedName>
    <definedName name="solver_msl" localSheetId="1" hidden="1">2</definedName>
    <definedName name="solver_neg" localSheetId="2" hidden="1">2</definedName>
    <definedName name="solver_neg" localSheetId="3" hidden="1">2</definedName>
    <definedName name="solver_neg" localSheetId="0" hidden="1">2</definedName>
    <definedName name="solver_neg" localSheetId="1" hidden="1">2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6</definedName>
    <definedName name="solver_num" localSheetId="3" hidden="1">6</definedName>
    <definedName name="solver_num" localSheetId="0" hidden="1">3</definedName>
    <definedName name="solver_num" localSheetId="1" hidden="1">3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2" hidden="1">Quadrilateral!$B$26</definedName>
    <definedName name="solver_opt" localSheetId="3" hidden="1">Solved!$B$26</definedName>
    <definedName name="solver_opt" localSheetId="0" hidden="1">Trapezoid!$B$15</definedName>
    <definedName name="solver_opt" localSheetId="1" hidden="1">Working!$B$16</definedName>
    <definedName name="solver_pre" localSheetId="2" hidden="1">0.00001</definedName>
    <definedName name="solver_pre" localSheetId="3" hidden="1">0.00001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1</definedName>
    <definedName name="solver_rbv" localSheetId="1" hidden="1">1</definedName>
    <definedName name="solver_rel1" localSheetId="2" hidden="1">1</definedName>
    <definedName name="solver_rel1" localSheetId="3" hidden="1">1</definedName>
    <definedName name="solver_rel1" localSheetId="0" hidden="1">1</definedName>
    <definedName name="solver_rel1" localSheetId="1" hidden="1">1</definedName>
    <definedName name="solver_rel2" localSheetId="2" hidden="1">3</definedName>
    <definedName name="solver_rel2" localSheetId="3" hidden="1">3</definedName>
    <definedName name="solver_rel2" localSheetId="0" hidden="1">3</definedName>
    <definedName name="solver_rel2" localSheetId="1" hidden="1">3</definedName>
    <definedName name="solver_rel3" localSheetId="2" hidden="1">1</definedName>
    <definedName name="solver_rel3" localSheetId="3" hidden="1">1</definedName>
    <definedName name="solver_rel3" localSheetId="0" hidden="1">3</definedName>
    <definedName name="solver_rel3" localSheetId="1" hidden="1">3</definedName>
    <definedName name="solver_rel4" localSheetId="2" hidden="1">3</definedName>
    <definedName name="solver_rel4" localSheetId="3" hidden="1">3</definedName>
    <definedName name="solver_rel4" localSheetId="0" hidden="1">3</definedName>
    <definedName name="solver_rel5" localSheetId="2" hidden="1">3</definedName>
    <definedName name="solver_rel5" localSheetId="3" hidden="1">3</definedName>
    <definedName name="solver_rel6" localSheetId="2" hidden="1">2</definedName>
    <definedName name="solver_rel6" localSheetId="3" hidden="1">2</definedName>
    <definedName name="solver_rhs1" localSheetId="2" hidden="1">1</definedName>
    <definedName name="solver_rhs1" localSheetId="3" hidden="1">1</definedName>
    <definedName name="solver_rhs1" localSheetId="0" hidden="1">1</definedName>
    <definedName name="solver_rhs1" localSheetId="1" hidden="1">Working!rad</definedName>
    <definedName name="solver_rhs2" localSheetId="2" hidden="1">-1</definedName>
    <definedName name="solver_rhs2" localSheetId="3" hidden="1">-1</definedName>
    <definedName name="solver_rhs2" localSheetId="0" hidden="1">0</definedName>
    <definedName name="solver_rhs2" localSheetId="1" hidden="1">0</definedName>
    <definedName name="solver_rhs3" localSheetId="2" hidden="1">1</definedName>
    <definedName name="solver_rhs3" localSheetId="3" hidden="1">1</definedName>
    <definedName name="solver_rhs3" localSheetId="0" hidden="1">0</definedName>
    <definedName name="solver_rhs3" localSheetId="1" hidden="1">0</definedName>
    <definedName name="solver_rhs4" localSheetId="2" hidden="1">0</definedName>
    <definedName name="solver_rhs4" localSheetId="3" hidden="1">0</definedName>
    <definedName name="solver_rhs4" localSheetId="0" hidden="1">0</definedName>
    <definedName name="solver_rhs5" localSheetId="2" hidden="1">0</definedName>
    <definedName name="solver_rhs5" localSheetId="3" hidden="1">0</definedName>
    <definedName name="solver_rhs6" localSheetId="2" hidden="1">1</definedName>
    <definedName name="solver_rhs6" localSheetId="3" hidden="1">1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2</definedName>
    <definedName name="solver_scl" localSheetId="3" hidden="1">2</definedName>
    <definedName name="solver_scl" localSheetId="0" hidden="1">1</definedName>
    <definedName name="solver_scl" localSheetId="1" hidden="1">1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240</definedName>
    <definedName name="solver_ssz" localSheetId="3" hidden="1">240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180</definedName>
    <definedName name="solver_tim" localSheetId="1" hidden="1">2147483647</definedName>
    <definedName name="solver_tol" localSheetId="2" hidden="1">0</definedName>
    <definedName name="solver_tol" localSheetId="3" hidden="1">0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3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B21" i="4"/>
  <c r="B20" i="4"/>
  <c r="B15" i="4"/>
  <c r="B14" i="4"/>
  <c r="B13" i="4"/>
  <c r="C11" i="4"/>
  <c r="B11" i="4"/>
  <c r="C10" i="4"/>
  <c r="B10" i="4"/>
  <c r="G9" i="4"/>
  <c r="F9" i="4"/>
  <c r="D9" i="4"/>
  <c r="E9" i="4" s="1"/>
  <c r="G8" i="4"/>
  <c r="F8" i="4"/>
  <c r="D8" i="4"/>
  <c r="E8" i="4" s="1"/>
  <c r="H7" i="4"/>
  <c r="G7" i="4"/>
  <c r="F7" i="4"/>
  <c r="D7" i="4"/>
  <c r="E7" i="4" s="1"/>
  <c r="H6" i="4"/>
  <c r="G6" i="4"/>
  <c r="F6" i="4"/>
  <c r="D6" i="4"/>
  <c r="E6" i="4" s="1"/>
  <c r="F8" i="2"/>
  <c r="G9" i="2"/>
  <c r="G8" i="2"/>
  <c r="C12" i="3"/>
  <c r="B12" i="3"/>
  <c r="C11" i="2"/>
  <c r="B11" i="2"/>
  <c r="C10" i="3"/>
  <c r="B10" i="3"/>
  <c r="C9" i="1"/>
  <c r="C10" i="1"/>
  <c r="B10" i="1"/>
  <c r="F6" i="2"/>
  <c r="F7" i="2"/>
  <c r="G10" i="4" l="1"/>
  <c r="B16" i="4"/>
  <c r="B17" i="4" s="1"/>
  <c r="B23" i="4"/>
  <c r="B24" i="4" s="1"/>
  <c r="F9" i="2"/>
  <c r="H6" i="2"/>
  <c r="G6" i="2"/>
  <c r="H7" i="2"/>
  <c r="G7" i="2"/>
  <c r="B13" i="3"/>
  <c r="C11" i="3"/>
  <c r="B11" i="3"/>
  <c r="B22" i="3"/>
  <c r="B30" i="3"/>
  <c r="B21" i="2"/>
  <c r="B20" i="2"/>
  <c r="B10" i="2"/>
  <c r="C10" i="2"/>
  <c r="D6" i="1"/>
  <c r="E6" i="1" s="1"/>
  <c r="B22" i="2"/>
  <c r="B13" i="2"/>
  <c r="B15" i="2"/>
  <c r="B15" i="3"/>
  <c r="B23" i="3"/>
  <c r="D6" i="2"/>
  <c r="E6" i="2" s="1"/>
  <c r="D7" i="2"/>
  <c r="E7" i="2" s="1"/>
  <c r="B14" i="2"/>
  <c r="B14" i="1"/>
  <c r="D9" i="2"/>
  <c r="E9" i="2" s="1"/>
  <c r="D8" i="2"/>
  <c r="E8" i="2" s="1"/>
  <c r="B26" i="4" l="1"/>
  <c r="B27" i="4" s="1"/>
  <c r="C27" i="4" s="1"/>
  <c r="G10" i="2"/>
  <c r="B28" i="3"/>
  <c r="B14" i="3"/>
  <c r="B29" i="3"/>
  <c r="B21" i="3"/>
  <c r="B16" i="2"/>
  <c r="B17" i="2" s="1"/>
  <c r="B16" i="3"/>
  <c r="B17" i="3" s="1"/>
  <c r="B18" i="3" s="1"/>
  <c r="B12" i="1"/>
  <c r="B23" i="2"/>
  <c r="B24" i="2" s="1"/>
  <c r="D7" i="1"/>
  <c r="E7" i="1" s="1"/>
  <c r="B28" i="4" l="1"/>
  <c r="B24" i="3"/>
  <c r="B25" i="3" s="1"/>
  <c r="B26" i="2"/>
  <c r="B27" i="2" s="1"/>
  <c r="B28" i="2" s="1"/>
  <c r="B31" i="3"/>
  <c r="B32" i="3" s="1"/>
  <c r="B34" i="3" l="1"/>
  <c r="B35" i="3" s="1"/>
  <c r="B9" i="1" l="1"/>
  <c r="B13" i="1" s="1"/>
  <c r="D8" i="1"/>
  <c r="E8" i="1" s="1"/>
  <c r="B15" i="1" l="1"/>
  <c r="B16" i="1" s="1"/>
  <c r="C27" i="2" s="1"/>
  <c r="D9" i="1"/>
  <c r="E9" i="1" s="1"/>
  <c r="B17" i="1" l="1"/>
</calcChain>
</file>

<file path=xl/sharedStrings.xml><?xml version="1.0" encoding="utf-8"?>
<sst xmlns="http://schemas.openxmlformats.org/spreadsheetml/2006/main" count="85" uniqueCount="25">
  <si>
    <t>https://thefiddler.substack.com/p/can-you-squeeze-your-quads</t>
  </si>
  <si>
    <t>x</t>
  </si>
  <si>
    <t>y</t>
  </si>
  <si>
    <t>p1</t>
  </si>
  <si>
    <t>p2</t>
  </si>
  <si>
    <t>p3</t>
  </si>
  <si>
    <t>p4</t>
  </si>
  <si>
    <t>radius</t>
  </si>
  <si>
    <t>h</t>
  </si>
  <si>
    <t>a Base</t>
  </si>
  <si>
    <t>area</t>
  </si>
  <si>
    <t>b base</t>
  </si>
  <si>
    <t>Area</t>
  </si>
  <si>
    <t>test2</t>
  </si>
  <si>
    <t>test1</t>
  </si>
  <si>
    <t>p1p3</t>
  </si>
  <si>
    <t>p3p4</t>
  </si>
  <si>
    <t>p4p1</t>
  </si>
  <si>
    <t>s</t>
  </si>
  <si>
    <t>p2p1</t>
  </si>
  <si>
    <t>Toal Area</t>
  </si>
  <si>
    <t>p3p2</t>
  </si>
  <si>
    <t>Triangle A</t>
  </si>
  <si>
    <t>Triangle B</t>
  </si>
  <si>
    <t>https://thefiddler.substack.com/p/can-you-flip-the-coins-exactly-as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</si>
</sst>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164" fontId="0" fillId="2" borderId="0" xfId="0" applyNumberFormat="1" applyFill="1"/>
    <xf numFmtId="10" fontId="0" fillId="2" borderId="0" xfId="1" applyNumberFormat="1" applyFont="1" applyFill="1"/>
    <xf numFmtId="0" fontId="2" fillId="5" borderId="1" xfId="0" applyFont="1" applyFill="1" applyBorder="1"/>
    <xf numFmtId="0" fontId="5" fillId="2" borderId="0" xfId="0" applyFont="1" applyFill="1"/>
    <xf numFmtId="0" fontId="4" fillId="0" borderId="1" xfId="2" applyFill="1" applyBorder="1" applyAlignment="1"/>
    <xf numFmtId="0" fontId="0" fillId="0" borderId="1" xfId="0" applyFill="1" applyBorder="1" applyAlignment="1"/>
    <xf numFmtId="164" fontId="2" fillId="5" borderId="1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/>
    <xf numFmtId="0" fontId="0" fillId="4" borderId="1" xfId="0" applyFill="1" applyBorder="1"/>
    <xf numFmtId="164" fontId="0" fillId="3" borderId="1" xfId="0" applyNumberFormat="1" applyFill="1" applyBorder="1"/>
    <xf numFmtId="165" fontId="0" fillId="6" borderId="1" xfId="1" applyNumberFormat="1" applyFont="1" applyFill="1" applyBorder="1"/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0" fontId="0" fillId="6" borderId="1" xfId="1" applyNumberFormat="1" applyFont="1" applyFill="1" applyBorder="1"/>
    <xf numFmtId="164" fontId="0" fillId="0" borderId="1" xfId="0" applyNumberFormat="1" applyFill="1" applyBorder="1"/>
    <xf numFmtId="0" fontId="0" fillId="0" borderId="1" xfId="0" applyFill="1" applyBorder="1"/>
    <xf numFmtId="0" fontId="4" fillId="0" borderId="1" xfId="2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4" xfId="2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4" fillId="0" borderId="1" xfId="2" applyFill="1" applyBorder="1"/>
    <xf numFmtId="0" fontId="0" fillId="0" borderId="1" xfId="0" applyFill="1" applyBorder="1"/>
  </cellXfs>
  <cellStyles count="3">
    <cellStyle name="Hyperlink" xfId="2" builtinId="8"/>
    <cellStyle name="Normal" xfId="0" builtinId="0"/>
    <cellStyle name="Percent" xfId="1" builtinId="5"/>
  </cellStyles>
  <dxfs count="2">
    <dxf>
      <font>
        <strike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theme="1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96DE86C-BFB4-453B-B7BC-B031D6DD6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172-4CB0-B4B4-E7006B021B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445FB3-7D96-4944-AA6F-03665F04E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172-4CB0-B4B4-E7006B021B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4263FB-702C-426D-83D5-DE8EF054E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72-4CB0-B4B4-E7006B021B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B87F1A-F0CD-445C-A0B5-02604B6A4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172-4CB0-B4B4-E7006B021B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73C-4C23-A0DB-9424594BA1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Trapezoid!$B$6:$B$10</c:f>
              <c:numCache>
                <c:formatCode>General</c:formatCode>
                <c:ptCount val="5"/>
                <c:pt idx="0">
                  <c:v>-1</c:v>
                </c:pt>
                <c:pt idx="1">
                  <c:v>1</c:v>
                </c:pt>
                <c:pt idx="2">
                  <c:v>0.49992406332029893</c:v>
                </c:pt>
                <c:pt idx="3">
                  <c:v>-0.49992406332029893</c:v>
                </c:pt>
                <c:pt idx="4">
                  <c:v>-1</c:v>
                </c:pt>
              </c:numCache>
            </c:numRef>
          </c:xVal>
          <c:yVal>
            <c:numRef>
              <c:f>Trapezoid!$C$6:$C$10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0.86606924150323616</c:v>
                </c:pt>
                <c:pt idx="3">
                  <c:v>0.86606924150323616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Trapezoid!$A$6:$A$9</c15:f>
                <c15:dlblRangeCache>
                  <c:ptCount val="4"/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172-4CB0-B4B4-E7006B02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56767"/>
        <c:axId val="1308397551"/>
      </c:scatterChart>
      <c:valAx>
        <c:axId val="2026856767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97551"/>
        <c:crosses val="autoZero"/>
        <c:crossBetween val="midCat"/>
        <c:majorUnit val="0.5"/>
        <c:minorUnit val="0.1"/>
      </c:valAx>
      <c:valAx>
        <c:axId val="13083975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2685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0A04886-FA34-42CE-982B-3499330C1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1C6-4419-86C6-5F4430660A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69BE1C-85DD-4C49-BD32-A3170E5F98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1C6-4419-86C6-5F4430660A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C51B00C-9C0F-4D6A-B878-D7D7D354B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1C6-4419-86C6-5F4430660AD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05247C-7797-48AC-BE70-880512D1E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1C6-4419-86C6-5F4430660A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EEC-46E5-A6FE-A5B11FFD8D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EEC-46E5-A6FE-A5B11FFD8D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Working!$B$7:$B$12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2" formatCode="0.0000">
                  <c:v>0.49992406332029893</c:v>
                </c:pt>
                <c:pt idx="3" formatCode="0.0000">
                  <c:v>-0.49992406332029893</c:v>
                </c:pt>
                <c:pt idx="4">
                  <c:v>-1</c:v>
                </c:pt>
                <c:pt idx="5">
                  <c:v>0.49992406332029893</c:v>
                </c:pt>
              </c:numCache>
            </c:numRef>
          </c:xVal>
          <c:yVal>
            <c:numRef>
              <c:f>Working!$C$7:$C$12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0.86606924150323616</c:v>
                </c:pt>
                <c:pt idx="3">
                  <c:v>0.86606924150323616</c:v>
                </c:pt>
                <c:pt idx="4">
                  <c:v>0</c:v>
                </c:pt>
                <c:pt idx="5">
                  <c:v>0.86606924150323616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Working!$A$7:$A$10</c15:f>
                <c15:dlblRangeCache>
                  <c:ptCount val="4"/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1C6-4419-86C6-5F4430660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56767"/>
        <c:axId val="1308397551"/>
      </c:scatterChart>
      <c:valAx>
        <c:axId val="2026856767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97551"/>
        <c:crosses val="autoZero"/>
        <c:crossBetween val="midCat"/>
        <c:majorUnit val="0.5"/>
        <c:minorUnit val="0.1"/>
      </c:valAx>
      <c:valAx>
        <c:axId val="13083975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2685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207911511760392E-2"/>
          <c:y val="1.9464726587371441E-2"/>
          <c:w val="0.9610763117379264"/>
          <c:h val="0.904905724162272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8047E08-3686-4173-B868-9BF0CA9682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543-469E-B057-38C9BB8352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19D32E-2648-4F3D-ACD2-B523D6331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543-469E-B057-38C9BB8352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04E463-5B46-418D-BB1E-102D44EF5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543-469E-B057-38C9BB83525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DB0303-1CC2-4B23-8672-262C3B566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543-469E-B057-38C9BB83525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5EC-490F-A061-860DF4BAD0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733-44B4-9D57-9BA5B19E47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Quadrilateral!$B$6:$B$11</c:f>
              <c:numCache>
                <c:formatCode>General</c:formatCode>
                <c:ptCount val="6"/>
                <c:pt idx="0">
                  <c:v>-0.8</c:v>
                </c:pt>
                <c:pt idx="1">
                  <c:v>0.9</c:v>
                </c:pt>
                <c:pt idx="2">
                  <c:v>0.25</c:v>
                </c:pt>
                <c:pt idx="3">
                  <c:v>-0.33329999999999999</c:v>
                </c:pt>
                <c:pt idx="4">
                  <c:v>-0.8</c:v>
                </c:pt>
                <c:pt idx="5">
                  <c:v>0.25</c:v>
                </c:pt>
              </c:numCache>
            </c:numRef>
          </c:xVal>
          <c:yVal>
            <c:numRef>
              <c:f>Quadrilateral!$C$6:$C$11</c:f>
              <c:numCache>
                <c:formatCode>General</c:formatCode>
                <c:ptCount val="6"/>
                <c:pt idx="0">
                  <c:v>0.15</c:v>
                </c:pt>
                <c:pt idx="1">
                  <c:v>0.12554999999999999</c:v>
                </c:pt>
                <c:pt idx="2">
                  <c:v>1</c:v>
                </c:pt>
                <c:pt idx="3">
                  <c:v>0.88</c:v>
                </c:pt>
                <c:pt idx="4">
                  <c:v>0.15</c:v>
                </c:pt>
                <c:pt idx="5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Quadrilateral!$A$6:$A$9</c15:f>
                <c15:dlblRangeCache>
                  <c:ptCount val="4"/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543-469E-B057-38C9BB835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013087"/>
        <c:axId val="2017818271"/>
      </c:scatterChart>
      <c:valAx>
        <c:axId val="625013087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18271"/>
        <c:crosses val="autoZero"/>
        <c:crossBetween val="midCat"/>
      </c:valAx>
      <c:valAx>
        <c:axId val="2017818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501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207911511760392E-2"/>
          <c:y val="1.9464726587371441E-2"/>
          <c:w val="0.9610763117379264"/>
          <c:h val="0.9049057241622723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433428-AD91-4672-8F05-5C2FA4D51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437-43C8-A41E-9AF9F8F6BD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7D4BDB-9B0E-42BE-A764-46D595F22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437-43C8-A41E-9AF9F8F6BD7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D273FB-A1A0-4042-B8D9-AE3C19F0E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437-43C8-A41E-9AF9F8F6BD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3D75CCC-6F97-44F7-8319-A65839A96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437-43C8-A41E-9AF9F8F6BD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437-43C8-A41E-9AF9F8F6BD7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437-43C8-A41E-9AF9F8F6BD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Solved!$B$6:$B$11</c:f>
              <c:numCache>
                <c:formatCode>General</c:formatCode>
                <c:ptCount val="6"/>
                <c:pt idx="0">
                  <c:v>-1</c:v>
                </c:pt>
                <c:pt idx="1">
                  <c:v>1</c:v>
                </c:pt>
                <c:pt idx="2">
                  <c:v>0.49991783313684629</c:v>
                </c:pt>
                <c:pt idx="3">
                  <c:v>-0.50010780171756375</c:v>
                </c:pt>
                <c:pt idx="4">
                  <c:v>-1</c:v>
                </c:pt>
                <c:pt idx="5">
                  <c:v>0.49991783313684629</c:v>
                </c:pt>
              </c:numCache>
            </c:numRef>
          </c:xVal>
          <c:yVal>
            <c:numRef>
              <c:f>Solved!$C$6:$C$11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0.86607284345644409</c:v>
                </c:pt>
                <c:pt idx="3">
                  <c:v>0.8659631750740262</c:v>
                </c:pt>
                <c:pt idx="4">
                  <c:v>0</c:v>
                </c:pt>
                <c:pt idx="5">
                  <c:v>0.86607284345644409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Solved!$A$6:$A$9</c15:f>
                <c15:dlblRangeCache>
                  <c:ptCount val="4"/>
                  <c:pt idx="0">
                    <c:v>p1</c:v>
                  </c:pt>
                  <c:pt idx="1">
                    <c:v>p2</c:v>
                  </c:pt>
                  <c:pt idx="2">
                    <c:v>p3</c:v>
                  </c:pt>
                  <c:pt idx="3">
                    <c:v>p4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B437-43C8-A41E-9AF9F8F6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013087"/>
        <c:axId val="2017818271"/>
      </c:scatterChart>
      <c:valAx>
        <c:axId val="625013087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18271"/>
        <c:crosses val="autoZero"/>
        <c:crossBetween val="midCat"/>
      </c:valAx>
      <c:valAx>
        <c:axId val="2017818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501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2</xdr:row>
      <xdr:rowOff>125412</xdr:rowOff>
    </xdr:from>
    <xdr:to>
      <xdr:col>24</xdr:col>
      <xdr:colOff>577850</xdr:colOff>
      <xdr:row>35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7E33C-0D15-3241-816D-E5663E5A7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327024</xdr:colOff>
      <xdr:row>2</xdr:row>
      <xdr:rowOff>157162</xdr:rowOff>
    </xdr:from>
    <xdr:to>
      <xdr:col>22</xdr:col>
      <xdr:colOff>295275</xdr:colOff>
      <xdr:row>31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CDF50-9F43-41C1-8574-99432C6D7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2</xdr:row>
      <xdr:rowOff>88900</xdr:rowOff>
    </xdr:from>
    <xdr:to>
      <xdr:col>22</xdr:col>
      <xdr:colOff>196851</xdr:colOff>
      <xdr:row>27</xdr:row>
      <xdr:rowOff>52386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7DA157-C72D-3BDD-31A5-0CD757BCE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2</xdr:row>
      <xdr:rowOff>88900</xdr:rowOff>
    </xdr:from>
    <xdr:to>
      <xdr:col>22</xdr:col>
      <xdr:colOff>196851</xdr:colOff>
      <xdr:row>27</xdr:row>
      <xdr:rowOff>52386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341B1-4972-4D56-AF87-0C60AF359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fiddler.substack.com/p/can-you-flip-the-coins-exactly-as" TargetMode="External"/><Relationship Id="rId1" Type="http://schemas.openxmlformats.org/officeDocument/2006/relationships/hyperlink" Target="https://thefiddler.substack.com/p/can-you-squeeze-your-quad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hefiddler.substack.com/p/can-you-squeeze-your-quad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thefiddler.substack.com/p/can-you-flip-the-coins-exactly-as" TargetMode="External"/><Relationship Id="rId1" Type="http://schemas.openxmlformats.org/officeDocument/2006/relationships/hyperlink" Target="https://thefiddler.substack.com/p/can-you-squeeze-your-quad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thefiddler.substack.com/p/can-you-flip-the-coins-exactly-as" TargetMode="External"/><Relationship Id="rId1" Type="http://schemas.openxmlformats.org/officeDocument/2006/relationships/hyperlink" Target="https://thefiddler.substack.com/p/can-you-squeeze-your-quads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0E7B-3214-4B01-9C98-79C100436484}">
  <sheetPr codeName="Sheet1"/>
  <dimension ref="A1:G17"/>
  <sheetViews>
    <sheetView workbookViewId="0">
      <selection activeCell="B17" sqref="B17"/>
    </sheetView>
  </sheetViews>
  <sheetFormatPr defaultColWidth="9.140625" defaultRowHeight="15" x14ac:dyDescent="0.25"/>
  <cols>
    <col min="1" max="1" width="10.140625" style="1" bestFit="1" customWidth="1"/>
    <col min="2" max="2" width="8.42578125" style="1" customWidth="1"/>
    <col min="3" max="3" width="6.5703125" style="1" bestFit="1" customWidth="1"/>
    <col min="4" max="4" width="5.5703125" style="1" bestFit="1" customWidth="1"/>
    <col min="5" max="5" width="7.85546875" style="1" bestFit="1" customWidth="1"/>
    <col min="6" max="6" width="9.140625" style="1"/>
    <col min="7" max="7" width="10.140625" style="1" customWidth="1"/>
    <col min="8" max="16384" width="9.140625" style="1"/>
  </cols>
  <sheetData>
    <row r="1" spans="1:7" x14ac:dyDescent="0.25">
      <c r="A1" s="23" t="s">
        <v>0</v>
      </c>
      <c r="B1" s="24"/>
      <c r="C1" s="24"/>
      <c r="D1" s="24"/>
      <c r="E1" s="24"/>
      <c r="F1" s="24"/>
      <c r="G1" s="24"/>
    </row>
    <row r="2" spans="1:7" x14ac:dyDescent="0.25">
      <c r="A2" s="25" t="s">
        <v>24</v>
      </c>
      <c r="B2" s="25"/>
      <c r="C2" s="25"/>
      <c r="D2" s="25"/>
      <c r="E2" s="25"/>
      <c r="F2" s="25"/>
      <c r="G2" s="25"/>
    </row>
    <row r="5" spans="1:7" x14ac:dyDescent="0.25">
      <c r="B5" s="3" t="s">
        <v>1</v>
      </c>
      <c r="C5" s="3" t="s">
        <v>2</v>
      </c>
      <c r="D5" s="3" t="s">
        <v>14</v>
      </c>
      <c r="E5" s="2" t="s">
        <v>13</v>
      </c>
    </row>
    <row r="6" spans="1:7" x14ac:dyDescent="0.25">
      <c r="A6" s="2" t="s">
        <v>3</v>
      </c>
      <c r="B6" s="3">
        <v>-1</v>
      </c>
      <c r="C6" s="3">
        <v>0</v>
      </c>
      <c r="D6" s="3">
        <f>B6^2+C6^2</f>
        <v>1</v>
      </c>
      <c r="E6" s="2">
        <f>1-D6</f>
        <v>0</v>
      </c>
    </row>
    <row r="7" spans="1:7" x14ac:dyDescent="0.25">
      <c r="A7" s="2" t="s">
        <v>4</v>
      </c>
      <c r="B7" s="3">
        <v>1</v>
      </c>
      <c r="C7" s="3">
        <v>0</v>
      </c>
      <c r="D7" s="3">
        <f t="shared" ref="D7:D9" si="0">B7^2+C7^2</f>
        <v>1</v>
      </c>
      <c r="E7" s="2">
        <f t="shared" ref="E7:E9" si="1">1-D7</f>
        <v>0</v>
      </c>
    </row>
    <row r="8" spans="1:7" x14ac:dyDescent="0.25">
      <c r="A8" s="2" t="s">
        <v>5</v>
      </c>
      <c r="B8" s="4">
        <v>0.49992406332029893</v>
      </c>
      <c r="C8" s="4">
        <v>0.86606924150323616</v>
      </c>
      <c r="D8" s="3">
        <f t="shared" si="0"/>
        <v>1.0000000001646689</v>
      </c>
      <c r="E8" s="2">
        <f t="shared" si="1"/>
        <v>-1.6466894514621799E-10</v>
      </c>
    </row>
    <row r="9" spans="1:7" x14ac:dyDescent="0.25">
      <c r="A9" s="2" t="s">
        <v>6</v>
      </c>
      <c r="B9" s="3">
        <f>-B8</f>
        <v>-0.49992406332029893</v>
      </c>
      <c r="C9" s="3">
        <f>C8</f>
        <v>0.86606924150323616</v>
      </c>
      <c r="D9" s="3">
        <f t="shared" si="0"/>
        <v>1.0000000001646689</v>
      </c>
      <c r="E9" s="2">
        <f t="shared" si="1"/>
        <v>-1.6466894514621799E-10</v>
      </c>
    </row>
    <row r="10" spans="1:7" x14ac:dyDescent="0.25">
      <c r="B10" s="9">
        <f>B6</f>
        <v>-1</v>
      </c>
      <c r="C10" s="9">
        <f>C6</f>
        <v>0</v>
      </c>
    </row>
    <row r="12" spans="1:7" x14ac:dyDescent="0.25">
      <c r="A12" s="2" t="s">
        <v>9</v>
      </c>
      <c r="B12" s="2">
        <f>B7-B6</f>
        <v>2</v>
      </c>
    </row>
    <row r="13" spans="1:7" x14ac:dyDescent="0.25">
      <c r="A13" s="2" t="s">
        <v>11</v>
      </c>
      <c r="B13" s="2">
        <f>B8-B9</f>
        <v>0.99984812664059786</v>
      </c>
    </row>
    <row r="14" spans="1:7" x14ac:dyDescent="0.25">
      <c r="A14" s="2" t="s">
        <v>8</v>
      </c>
      <c r="B14" s="2">
        <f>C9</f>
        <v>0.86606924150323616</v>
      </c>
    </row>
    <row r="15" spans="1:7" x14ac:dyDescent="0.25">
      <c r="A15" s="2" t="s">
        <v>10</v>
      </c>
      <c r="B15" s="16">
        <f>AVERAGE(B12:B13)*B14</f>
        <v>1.2990380958322632</v>
      </c>
      <c r="C15" s="6">
        <v>1.2990380113420474</v>
      </c>
    </row>
    <row r="16" spans="1:7" x14ac:dyDescent="0.25">
      <c r="B16" s="12">
        <f>B15*2</f>
        <v>2.5980761916645263</v>
      </c>
    </row>
    <row r="17" spans="2:2" x14ac:dyDescent="0.25">
      <c r="B17" s="7">
        <f>B16/PI()</f>
        <v>0.82699333686555176</v>
      </c>
    </row>
  </sheetData>
  <mergeCells count="2">
    <mergeCell ref="A1:G1"/>
    <mergeCell ref="A2:G2"/>
  </mergeCells>
  <phoneticPr fontId="3" type="noConversion"/>
  <hyperlinks>
    <hyperlink ref="A1" r:id="rId1" xr:uid="{E22F1863-0CAF-44CA-824A-50B6671F1FA4}"/>
    <hyperlink ref="A2:G2" r:id="rId2" display="https://thefiddler.substack.com/p/can-you-flip-the-coins-exactly-as" xr:uid="{0B233062-2F18-4097-9A43-289C239F10C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CE09-5C36-4243-A701-F890DBA9E83E}">
  <sheetPr codeName="Sheet2"/>
  <dimension ref="A1:G35"/>
  <sheetViews>
    <sheetView workbookViewId="0">
      <selection activeCell="B1" sqref="B1"/>
    </sheetView>
  </sheetViews>
  <sheetFormatPr defaultColWidth="9.140625" defaultRowHeight="15" x14ac:dyDescent="0.25"/>
  <cols>
    <col min="1" max="1" width="10.140625" style="1" bestFit="1" customWidth="1"/>
    <col min="2" max="2" width="8.140625" style="1" customWidth="1"/>
    <col min="3" max="3" width="6.5703125" style="1" bestFit="1" customWidth="1"/>
    <col min="4" max="4" width="5.42578125" style="1" bestFit="1" customWidth="1"/>
    <col min="5" max="7" width="8.7109375" style="1" customWidth="1"/>
    <col min="8" max="16384" width="9.140625" style="1"/>
  </cols>
  <sheetData>
    <row r="1" spans="1:7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25">
      <c r="A2" s="10" t="s">
        <v>24</v>
      </c>
      <c r="B2" s="11"/>
      <c r="C2" s="11"/>
      <c r="D2" s="11"/>
      <c r="E2" s="11"/>
      <c r="F2" s="11"/>
      <c r="G2" s="11"/>
    </row>
    <row r="4" spans="1:7" x14ac:dyDescent="0.25">
      <c r="A4" s="2" t="s">
        <v>7</v>
      </c>
      <c r="B4" s="3">
        <v>1</v>
      </c>
    </row>
    <row r="6" spans="1:7" x14ac:dyDescent="0.25">
      <c r="B6" s="3" t="s">
        <v>1</v>
      </c>
      <c r="C6" s="3" t="s">
        <v>2</v>
      </c>
    </row>
    <row r="7" spans="1:7" x14ac:dyDescent="0.25">
      <c r="A7" s="2" t="s">
        <v>3</v>
      </c>
      <c r="B7" s="3">
        <v>-1</v>
      </c>
      <c r="C7" s="3">
        <v>0</v>
      </c>
    </row>
    <row r="8" spans="1:7" x14ac:dyDescent="0.25">
      <c r="A8" s="2" t="s">
        <v>4</v>
      </c>
      <c r="B8" s="3">
        <v>1</v>
      </c>
      <c r="C8" s="3">
        <v>0</v>
      </c>
    </row>
    <row r="9" spans="1:7" x14ac:dyDescent="0.25">
      <c r="A9" s="2" t="s">
        <v>5</v>
      </c>
      <c r="B9" s="18">
        <v>0.49992406332029893</v>
      </c>
      <c r="C9" s="4">
        <v>0.86606924150323616</v>
      </c>
    </row>
    <row r="10" spans="1:7" x14ac:dyDescent="0.25">
      <c r="A10" s="2" t="s">
        <v>6</v>
      </c>
      <c r="B10" s="19">
        <f>-B9</f>
        <v>-0.49992406332029893</v>
      </c>
      <c r="C10" s="3">
        <f>C9</f>
        <v>0.86606924150323616</v>
      </c>
    </row>
    <row r="11" spans="1:7" x14ac:dyDescent="0.25">
      <c r="B11" s="9">
        <f>B7</f>
        <v>-1</v>
      </c>
      <c r="C11" s="9">
        <f>C7</f>
        <v>0</v>
      </c>
    </row>
    <row r="12" spans="1:7" x14ac:dyDescent="0.25">
      <c r="B12" s="9">
        <f>B9</f>
        <v>0.49992406332029893</v>
      </c>
      <c r="C12" s="9">
        <f>C9</f>
        <v>0.86606924150323616</v>
      </c>
    </row>
    <row r="13" spans="1:7" x14ac:dyDescent="0.25">
      <c r="A13" s="2" t="s">
        <v>9</v>
      </c>
      <c r="B13" s="2">
        <f>B8-B7</f>
        <v>2</v>
      </c>
    </row>
    <row r="14" spans="1:7" x14ac:dyDescent="0.25">
      <c r="A14" s="2" t="s">
        <v>11</v>
      </c>
      <c r="B14" s="21">
        <f>B9-B10</f>
        <v>0.99984812664059786</v>
      </c>
    </row>
    <row r="15" spans="1:7" x14ac:dyDescent="0.25">
      <c r="A15" s="2" t="s">
        <v>8</v>
      </c>
      <c r="B15" s="21">
        <f>C10</f>
        <v>0.86606924150323616</v>
      </c>
    </row>
    <row r="16" spans="1:7" x14ac:dyDescent="0.25">
      <c r="A16" s="2" t="s">
        <v>10</v>
      </c>
      <c r="B16" s="16">
        <f>AVERAGE(B13:B14)*B15</f>
        <v>1.2990380958322632</v>
      </c>
      <c r="C16" s="6">
        <v>1.2990380113420474</v>
      </c>
    </row>
    <row r="17" spans="1:2" x14ac:dyDescent="0.25">
      <c r="B17" s="12">
        <f>B16*2</f>
        <v>2.5980761916645263</v>
      </c>
    </row>
    <row r="18" spans="1:2" x14ac:dyDescent="0.25">
      <c r="B18" s="20">
        <f>B17/PI()</f>
        <v>0.82699333686555176</v>
      </c>
    </row>
    <row r="20" spans="1:2" x14ac:dyDescent="0.25">
      <c r="A20" s="1" t="s">
        <v>22</v>
      </c>
    </row>
    <row r="21" spans="1:2" x14ac:dyDescent="0.25">
      <c r="A21" s="1" t="s">
        <v>15</v>
      </c>
      <c r="B21" s="6">
        <f>SQRT((B9-B7)^2+(C9-C7)^2)</f>
        <v>1.7320069649990635</v>
      </c>
    </row>
    <row r="22" spans="1:2" x14ac:dyDescent="0.25">
      <c r="A22" s="1" t="s">
        <v>16</v>
      </c>
      <c r="B22" s="6">
        <f>SQRT((B10-B9)^2+(C10-C9)^2)</f>
        <v>0.99984812664059786</v>
      </c>
    </row>
    <row r="23" spans="1:2" x14ac:dyDescent="0.25">
      <c r="A23" s="1" t="s">
        <v>17</v>
      </c>
      <c r="B23" s="6">
        <f>SQRT((B7-B10)^2+(C7-C10)^2)</f>
        <v>1.0000759338790586</v>
      </c>
    </row>
    <row r="24" spans="1:2" x14ac:dyDescent="0.25">
      <c r="A24" s="1" t="s">
        <v>18</v>
      </c>
      <c r="B24" s="6">
        <f>SUM(B21:B23)/2</f>
        <v>1.86596551275936</v>
      </c>
    </row>
    <row r="25" spans="1:2" x14ac:dyDescent="0.25">
      <c r="A25" s="1" t="s">
        <v>12</v>
      </c>
      <c r="B25" s="6">
        <f>SQRT(B24*(B24-B21)*(B24-B22)*(B24-B23))</f>
        <v>0.43296885432902704</v>
      </c>
    </row>
    <row r="27" spans="1:2" x14ac:dyDescent="0.25">
      <c r="A27" s="1" t="s">
        <v>23</v>
      </c>
    </row>
    <row r="28" spans="1:2" x14ac:dyDescent="0.25">
      <c r="A28" s="1" t="s">
        <v>15</v>
      </c>
      <c r="B28" s="6">
        <f>SQRT((B9-B7)^2+(C9-C7)^2)</f>
        <v>1.7320069649990635</v>
      </c>
    </row>
    <row r="29" spans="1:2" x14ac:dyDescent="0.25">
      <c r="A29" s="1" t="s">
        <v>21</v>
      </c>
      <c r="B29" s="6">
        <f>SQRT((B9-B8)^2+(C9-C8)^2)</f>
        <v>1.0000759338790586</v>
      </c>
    </row>
    <row r="30" spans="1:2" x14ac:dyDescent="0.25">
      <c r="A30" s="1" t="s">
        <v>19</v>
      </c>
      <c r="B30" s="1">
        <f>SQRT((B8-B7)^2+(C8-C7)^2)</f>
        <v>2</v>
      </c>
    </row>
    <row r="31" spans="1:2" x14ac:dyDescent="0.25">
      <c r="A31" s="1" t="s">
        <v>18</v>
      </c>
      <c r="B31" s="6">
        <f>SUM(B28:B30)/2</f>
        <v>2.3660414494390611</v>
      </c>
    </row>
    <row r="32" spans="1:2" x14ac:dyDescent="0.25">
      <c r="A32" s="1" t="s">
        <v>12</v>
      </c>
      <c r="B32" s="6">
        <f>SQRT(B31*(B31-B28)*(B31-B29)*(B31-B30))</f>
        <v>0.8660692415032365</v>
      </c>
    </row>
    <row r="34" spans="2:2" x14ac:dyDescent="0.25">
      <c r="B34" s="6">
        <f>B25+B32</f>
        <v>1.2990380958322636</v>
      </c>
    </row>
    <row r="35" spans="2:2" x14ac:dyDescent="0.25">
      <c r="B35" s="1" t="b">
        <f>B34=B16</f>
        <v>1</v>
      </c>
    </row>
  </sheetData>
  <hyperlinks>
    <hyperlink ref="A1" r:id="rId1" xr:uid="{E59827AE-6876-4F60-9B78-3E5711DB7AD8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4901-F6C2-4579-B34B-321168AD463C}">
  <sheetPr codeName="Sheet3"/>
  <dimension ref="A1:I38"/>
  <sheetViews>
    <sheetView tabSelected="1" workbookViewId="0">
      <selection activeCell="C9" sqref="C9"/>
    </sheetView>
  </sheetViews>
  <sheetFormatPr defaultColWidth="9.140625" defaultRowHeight="15" x14ac:dyDescent="0.25"/>
  <cols>
    <col min="1" max="1" width="8.7109375" style="1" bestFit="1" customWidth="1"/>
    <col min="2" max="2" width="6.85546875" style="1" customWidth="1"/>
    <col min="3" max="3" width="8.42578125" style="1" bestFit="1" customWidth="1"/>
    <col min="4" max="4" width="5.42578125" style="1" bestFit="1" customWidth="1"/>
    <col min="5" max="5" width="6.140625" style="1" customWidth="1"/>
    <col min="6" max="6" width="6.140625" style="1" bestFit="1" customWidth="1"/>
    <col min="7" max="8" width="5.42578125" style="1" bestFit="1" customWidth="1"/>
    <col min="9" max="16384" width="9.140625" style="1"/>
  </cols>
  <sheetData>
    <row r="1" spans="1:9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8" t="s">
        <v>24</v>
      </c>
      <c r="B2" s="29"/>
      <c r="C2" s="29"/>
      <c r="D2" s="29"/>
      <c r="E2" s="29"/>
      <c r="F2" s="29"/>
      <c r="G2" s="29"/>
      <c r="H2" s="29"/>
      <c r="I2" s="29"/>
    </row>
    <row r="5" spans="1:9" x14ac:dyDescent="0.25">
      <c r="B5" s="3" t="s">
        <v>1</v>
      </c>
      <c r="C5" s="3" t="s">
        <v>2</v>
      </c>
      <c r="D5" s="3" t="s">
        <v>14</v>
      </c>
      <c r="E5" s="2" t="s">
        <v>13</v>
      </c>
    </row>
    <row r="6" spans="1:9" x14ac:dyDescent="0.25">
      <c r="A6" s="2" t="s">
        <v>3</v>
      </c>
      <c r="B6" s="15">
        <v>-0.8</v>
      </c>
      <c r="C6" s="15">
        <v>0.15</v>
      </c>
      <c r="D6" s="3">
        <f>B6^2+C6^2</f>
        <v>0.66250000000000009</v>
      </c>
      <c r="E6" s="3">
        <f>1-D6</f>
        <v>0.33749999999999991</v>
      </c>
      <c r="F6" s="13" t="b">
        <f>B6&lt;B9</f>
        <v>1</v>
      </c>
      <c r="G6" s="13" t="b">
        <f>C6&lt;C8</f>
        <v>1</v>
      </c>
      <c r="H6" s="13" t="b">
        <f>C6&lt;C9</f>
        <v>1</v>
      </c>
    </row>
    <row r="7" spans="1:9" x14ac:dyDescent="0.25">
      <c r="A7" s="2" t="s">
        <v>4</v>
      </c>
      <c r="B7" s="15">
        <v>0.9</v>
      </c>
      <c r="C7" s="15">
        <v>0.12554999999999999</v>
      </c>
      <c r="D7" s="3">
        <f t="shared" ref="D7:D9" si="0">B7^2+C7^2</f>
        <v>0.8257628025</v>
      </c>
      <c r="E7" s="3">
        <f t="shared" ref="E7:E9" si="1">1-D7</f>
        <v>0.1742371975</v>
      </c>
      <c r="F7" s="13" t="b">
        <f>B7&gt;B9</f>
        <v>1</v>
      </c>
      <c r="G7" s="13" t="b">
        <f>C7&lt;C8</f>
        <v>1</v>
      </c>
      <c r="H7" s="13" t="b">
        <f>C7&lt;C9</f>
        <v>1</v>
      </c>
    </row>
    <row r="8" spans="1:9" x14ac:dyDescent="0.25">
      <c r="A8" s="2" t="s">
        <v>5</v>
      </c>
      <c r="B8" s="15">
        <v>0.25</v>
      </c>
      <c r="C8" s="15">
        <v>1</v>
      </c>
      <c r="D8" s="3">
        <f t="shared" si="0"/>
        <v>1.0625</v>
      </c>
      <c r="E8" s="3">
        <f t="shared" si="1"/>
        <v>-6.25E-2</v>
      </c>
      <c r="F8" s="13" t="b">
        <f>C8&gt;C7</f>
        <v>1</v>
      </c>
      <c r="G8" s="13" t="b">
        <f>B8&gt;B9</f>
        <v>1</v>
      </c>
      <c r="H8" s="13"/>
    </row>
    <row r="9" spans="1:9" x14ac:dyDescent="0.25">
      <c r="A9" s="2" t="s">
        <v>6</v>
      </c>
      <c r="B9" s="15">
        <v>-0.33329999999999999</v>
      </c>
      <c r="C9" s="15">
        <v>0.88</v>
      </c>
      <c r="D9" s="3">
        <f t="shared" si="0"/>
        <v>0.88548888999999997</v>
      </c>
      <c r="E9" s="3">
        <f t="shared" si="1"/>
        <v>0.11451111000000003</v>
      </c>
      <c r="F9" s="13" t="b">
        <f>B9&lt;B8</f>
        <v>1</v>
      </c>
      <c r="G9" s="13" t="b">
        <f>C9&gt;C6</f>
        <v>1</v>
      </c>
      <c r="H9" s="13"/>
    </row>
    <row r="10" spans="1:9" x14ac:dyDescent="0.25">
      <c r="B10" s="9">
        <f>B6</f>
        <v>-0.8</v>
      </c>
      <c r="C10" s="9">
        <f>C6</f>
        <v>0.15</v>
      </c>
      <c r="G10" s="3">
        <f>AND(F6:H9)+0</f>
        <v>1</v>
      </c>
    </row>
    <row r="11" spans="1:9" x14ac:dyDescent="0.25">
      <c r="B11" s="9">
        <f>B8</f>
        <v>0.25</v>
      </c>
      <c r="C11" s="9">
        <f>C8</f>
        <v>1</v>
      </c>
    </row>
    <row r="12" spans="1:9" x14ac:dyDescent="0.25">
      <c r="A12" s="26" t="s">
        <v>22</v>
      </c>
      <c r="B12" s="27"/>
    </row>
    <row r="13" spans="1:9" x14ac:dyDescent="0.25">
      <c r="A13" s="2" t="s">
        <v>15</v>
      </c>
      <c r="B13" s="3">
        <f>SQRT((B8-B6)^2+(C8-C6)^2)</f>
        <v>1.3509256086106296</v>
      </c>
    </row>
    <row r="14" spans="1:9" x14ac:dyDescent="0.25">
      <c r="A14" s="2" t="s">
        <v>16</v>
      </c>
      <c r="B14" s="3">
        <f>SQRT((B9-B8)^2+(C9-C8)^2)</f>
        <v>0.59551565050802813</v>
      </c>
    </row>
    <row r="15" spans="1:9" x14ac:dyDescent="0.25">
      <c r="A15" s="2" t="s">
        <v>17</v>
      </c>
      <c r="B15" s="3">
        <f>SQRT((B9-B6)^2+(C9-C6)^2)</f>
        <v>0.86643458495145498</v>
      </c>
    </row>
    <row r="16" spans="1:9" x14ac:dyDescent="0.25">
      <c r="A16" s="2" t="s">
        <v>18</v>
      </c>
      <c r="B16" s="3">
        <f>SUM(B13:B15)/2</f>
        <v>1.4064379220350562</v>
      </c>
    </row>
    <row r="17" spans="1:6" x14ac:dyDescent="0.25">
      <c r="A17" s="2" t="s">
        <v>12</v>
      </c>
      <c r="B17" s="3">
        <f>SQRT(B16*(B16-B13)*(B16-B14)*(B16-B15))</f>
        <v>0.18490249999999972</v>
      </c>
    </row>
    <row r="19" spans="1:6" x14ac:dyDescent="0.25">
      <c r="A19" s="26" t="s">
        <v>23</v>
      </c>
      <c r="B19" s="27"/>
    </row>
    <row r="20" spans="1:6" x14ac:dyDescent="0.25">
      <c r="A20" s="2" t="s">
        <v>15</v>
      </c>
      <c r="B20" s="3">
        <f>SQRT((B8-B6)^2+(C8-C6)^2)</f>
        <v>1.3509256086106296</v>
      </c>
    </row>
    <row r="21" spans="1:6" x14ac:dyDescent="0.25">
      <c r="A21" s="2" t="s">
        <v>21</v>
      </c>
      <c r="B21" s="3">
        <f>SQRT((B8-B7)^2+(C8-C7)^2)</f>
        <v>1.0895700080765807</v>
      </c>
    </row>
    <row r="22" spans="1:6" x14ac:dyDescent="0.25">
      <c r="A22" s="2" t="s">
        <v>19</v>
      </c>
      <c r="B22" s="3">
        <f>SQRT((B7-B6)^2+(C7-C6)^2)</f>
        <v>1.7001758151732429</v>
      </c>
    </row>
    <row r="23" spans="1:6" x14ac:dyDescent="0.25">
      <c r="A23" s="2" t="s">
        <v>18</v>
      </c>
      <c r="B23" s="3">
        <f>SUM(B20:B22)/2</f>
        <v>2.0703357159302263</v>
      </c>
    </row>
    <row r="24" spans="1:6" x14ac:dyDescent="0.25">
      <c r="A24" s="2" t="s">
        <v>12</v>
      </c>
      <c r="B24" s="2">
        <f>SQRT(B23*(B23-B20)*(B23-B21)*(B23-B22))</f>
        <v>0.73533624999999936</v>
      </c>
    </row>
    <row r="26" spans="1:6" x14ac:dyDescent="0.25">
      <c r="A26" s="2" t="s">
        <v>20</v>
      </c>
      <c r="B26" s="5">
        <f>B17+B24</f>
        <v>0.92023874999999911</v>
      </c>
    </row>
    <row r="27" spans="1:6" x14ac:dyDescent="0.25">
      <c r="B27" s="8">
        <f>B26*2</f>
        <v>1.8404774999999982</v>
      </c>
      <c r="C27" s="1" t="b">
        <f>B27&gt;=Trapezoid!B16</f>
        <v>0</v>
      </c>
    </row>
    <row r="28" spans="1:6" x14ac:dyDescent="0.25">
      <c r="B28" s="17">
        <f>B27/PI()</f>
        <v>0.585842183548827</v>
      </c>
    </row>
    <row r="30" spans="1:6" ht="15.75" x14ac:dyDescent="0.25">
      <c r="B30" s="14">
        <v>-0.75</v>
      </c>
      <c r="C30" s="14">
        <v>0.25</v>
      </c>
      <c r="E30" s="1">
        <v>-1</v>
      </c>
      <c r="F30" s="1">
        <v>0</v>
      </c>
    </row>
    <row r="31" spans="1:6" ht="15.75" x14ac:dyDescent="0.25">
      <c r="B31" s="14">
        <v>0.88</v>
      </c>
      <c r="C31" s="14">
        <v>0.33</v>
      </c>
      <c r="E31" s="1">
        <v>1</v>
      </c>
      <c r="F31" s="1">
        <v>0</v>
      </c>
    </row>
    <row r="32" spans="1:6" ht="15.75" x14ac:dyDescent="0.25">
      <c r="B32" s="14">
        <v>0.4</v>
      </c>
      <c r="C32" s="14">
        <v>0.75</v>
      </c>
      <c r="E32" s="1">
        <v>0.49962955716226498</v>
      </c>
      <c r="F32" s="1">
        <v>0.86623954051005503</v>
      </c>
    </row>
    <row r="33" spans="2:6" ht="15.75" x14ac:dyDescent="0.25">
      <c r="B33" s="14">
        <v>-0.35</v>
      </c>
      <c r="C33" s="14">
        <v>0.7</v>
      </c>
      <c r="E33" s="1">
        <v>-0.49962955716226498</v>
      </c>
      <c r="F33" s="1">
        <v>0.86623954051005503</v>
      </c>
    </row>
    <row r="35" spans="2:6" x14ac:dyDescent="0.25">
      <c r="E35" s="1">
        <v>-0.95</v>
      </c>
      <c r="F35" s="1">
        <v>0.1</v>
      </c>
    </row>
    <row r="36" spans="2:6" x14ac:dyDescent="0.25">
      <c r="E36" s="1">
        <v>0.8</v>
      </c>
      <c r="F36" s="1">
        <v>0.08</v>
      </c>
    </row>
    <row r="37" spans="2:6" x14ac:dyDescent="0.25">
      <c r="E37" s="1">
        <v>0.49992406332029893</v>
      </c>
      <c r="F37" s="1">
        <v>0.8</v>
      </c>
    </row>
    <row r="38" spans="2:6" x14ac:dyDescent="0.25">
      <c r="E38" s="1">
        <v>-0.49992406332029893</v>
      </c>
      <c r="F38" s="1">
        <v>0.75</v>
      </c>
    </row>
  </sheetData>
  <mergeCells count="4">
    <mergeCell ref="A19:B19"/>
    <mergeCell ref="A12:B12"/>
    <mergeCell ref="A1:I1"/>
    <mergeCell ref="A2:I2"/>
  </mergeCells>
  <conditionalFormatting sqref="F6:H9">
    <cfRule type="cellIs" dxfId="1" priority="1" operator="equal">
      <formula>TRUE</formula>
    </cfRule>
  </conditionalFormatting>
  <hyperlinks>
    <hyperlink ref="A1" r:id="rId1" xr:uid="{368517A9-920B-4D5D-BB80-0BE63003F620}"/>
    <hyperlink ref="A2" r:id="rId2" xr:uid="{5A2E9DF5-BAF9-4B6E-9C74-037D74530EA3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D9BA-2A6F-4EE6-8158-ED4262E45E03}">
  <sheetPr codeName="Sheet4"/>
  <dimension ref="A1:I38"/>
  <sheetViews>
    <sheetView workbookViewId="0">
      <selection sqref="A1:I1"/>
    </sheetView>
  </sheetViews>
  <sheetFormatPr defaultColWidth="9.140625" defaultRowHeight="15" x14ac:dyDescent="0.25"/>
  <cols>
    <col min="1" max="1" width="8.7109375" style="1" bestFit="1" customWidth="1"/>
    <col min="2" max="2" width="6.85546875" style="1" customWidth="1"/>
    <col min="3" max="3" width="8.42578125" style="1" bestFit="1" customWidth="1"/>
    <col min="4" max="4" width="5.42578125" style="1" bestFit="1" customWidth="1"/>
    <col min="5" max="5" width="6.140625" style="1" customWidth="1"/>
    <col min="6" max="6" width="6.140625" style="1" bestFit="1" customWidth="1"/>
    <col min="7" max="8" width="5.42578125" style="1" bestFit="1" customWidth="1"/>
    <col min="9" max="16384" width="9.140625" style="1"/>
  </cols>
  <sheetData>
    <row r="1" spans="1:9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8" t="s">
        <v>24</v>
      </c>
      <c r="B2" s="29"/>
      <c r="C2" s="29"/>
      <c r="D2" s="29"/>
      <c r="E2" s="29"/>
      <c r="F2" s="29"/>
      <c r="G2" s="29"/>
      <c r="H2" s="29"/>
      <c r="I2" s="29"/>
    </row>
    <row r="5" spans="1:9" x14ac:dyDescent="0.25">
      <c r="B5" s="3" t="s">
        <v>1</v>
      </c>
      <c r="C5" s="3" t="s">
        <v>2</v>
      </c>
      <c r="D5" s="3" t="s">
        <v>14</v>
      </c>
      <c r="E5" s="22" t="s">
        <v>13</v>
      </c>
    </row>
    <row r="6" spans="1:9" x14ac:dyDescent="0.25">
      <c r="A6" s="22" t="s">
        <v>3</v>
      </c>
      <c r="B6" s="15">
        <v>-1</v>
      </c>
      <c r="C6" s="15">
        <v>0</v>
      </c>
      <c r="D6" s="3">
        <f>B6^2+C6^2</f>
        <v>1</v>
      </c>
      <c r="E6" s="3">
        <f>1-D6</f>
        <v>0</v>
      </c>
      <c r="F6" s="13" t="b">
        <f>B6&lt;B9</f>
        <v>1</v>
      </c>
      <c r="G6" s="13" t="b">
        <f>C6&lt;C8</f>
        <v>1</v>
      </c>
      <c r="H6" s="13" t="b">
        <f>C6&lt;C9</f>
        <v>1</v>
      </c>
    </row>
    <row r="7" spans="1:9" x14ac:dyDescent="0.25">
      <c r="A7" s="22" t="s">
        <v>4</v>
      </c>
      <c r="B7" s="15">
        <v>1</v>
      </c>
      <c r="C7" s="15">
        <v>0</v>
      </c>
      <c r="D7" s="3">
        <f t="shared" ref="D7:D9" si="0">B7^2+C7^2</f>
        <v>1</v>
      </c>
      <c r="E7" s="3">
        <f t="shared" ref="E7:E9" si="1">1-D7</f>
        <v>0</v>
      </c>
      <c r="F7" s="13" t="b">
        <f>B7&gt;B9</f>
        <v>1</v>
      </c>
      <c r="G7" s="13" t="b">
        <f>C7&lt;C8</f>
        <v>1</v>
      </c>
      <c r="H7" s="13" t="b">
        <f>C7&lt;C9</f>
        <v>1</v>
      </c>
    </row>
    <row r="8" spans="1:9" x14ac:dyDescent="0.25">
      <c r="A8" s="22" t="s">
        <v>5</v>
      </c>
      <c r="B8" s="15">
        <v>0.49991783313684629</v>
      </c>
      <c r="C8" s="15">
        <v>0.86607284345644409</v>
      </c>
      <c r="D8" s="3">
        <f t="shared" si="0"/>
        <v>1.0000000100609698</v>
      </c>
      <c r="E8" s="3">
        <f t="shared" si="1"/>
        <v>-1.0060969835024025E-8</v>
      </c>
      <c r="F8" s="13" t="b">
        <f>C8&gt;C7</f>
        <v>1</v>
      </c>
      <c r="G8" s="13" t="b">
        <f>B8&gt;B9</f>
        <v>1</v>
      </c>
      <c r="H8" s="13"/>
    </row>
    <row r="9" spans="1:9" x14ac:dyDescent="0.25">
      <c r="A9" s="22" t="s">
        <v>6</v>
      </c>
      <c r="B9" s="15">
        <v>-0.50010780171756375</v>
      </c>
      <c r="C9" s="15">
        <v>0.8659631750740262</v>
      </c>
      <c r="D9" s="3">
        <f t="shared" si="0"/>
        <v>1.0000000339230626</v>
      </c>
      <c r="E9" s="3">
        <f t="shared" si="1"/>
        <v>-3.3923062581209251E-8</v>
      </c>
      <c r="F9" s="13" t="b">
        <f>B9&lt;B8</f>
        <v>1</v>
      </c>
      <c r="G9" s="13" t="b">
        <f>C9&gt;C6</f>
        <v>1</v>
      </c>
      <c r="H9" s="13"/>
    </row>
    <row r="10" spans="1:9" x14ac:dyDescent="0.25">
      <c r="B10" s="9">
        <f>B6</f>
        <v>-1</v>
      </c>
      <c r="C10" s="9">
        <f>C6</f>
        <v>0</v>
      </c>
      <c r="G10" s="3">
        <f>AND(F6:H9)+0</f>
        <v>1</v>
      </c>
    </row>
    <row r="11" spans="1:9" x14ac:dyDescent="0.25">
      <c r="B11" s="9">
        <f>B8</f>
        <v>0.49991783313684629</v>
      </c>
      <c r="C11" s="9">
        <f>C8</f>
        <v>0.86607284345644409</v>
      </c>
    </row>
    <row r="12" spans="1:9" x14ac:dyDescent="0.25">
      <c r="A12" s="26" t="s">
        <v>22</v>
      </c>
      <c r="B12" s="27"/>
    </row>
    <row r="13" spans="1:9" x14ac:dyDescent="0.25">
      <c r="A13" s="22" t="s">
        <v>15</v>
      </c>
      <c r="B13" s="3">
        <f>SQRT((B8-B6)^2+(C8-C6)^2)</f>
        <v>1.7320033707630775</v>
      </c>
    </row>
    <row r="14" spans="1:9" x14ac:dyDescent="0.25">
      <c r="A14" s="22" t="s">
        <v>16</v>
      </c>
      <c r="B14" s="3">
        <f>SQRT((B9-B8)^2+(C9-C8)^2)</f>
        <v>1.000025640867833</v>
      </c>
    </row>
    <row r="15" spans="1:9" x14ac:dyDescent="0.25">
      <c r="A15" s="22" t="s">
        <v>17</v>
      </c>
      <c r="B15" s="3">
        <f>SQRT((B9-B6)^2+(C9-C6)^2)</f>
        <v>0.99989220943456458</v>
      </c>
    </row>
    <row r="16" spans="1:9" x14ac:dyDescent="0.25">
      <c r="A16" s="22" t="s">
        <v>18</v>
      </c>
      <c r="B16" s="3">
        <f>SUM(B13:B15)/2</f>
        <v>1.8659606105327375</v>
      </c>
    </row>
    <row r="17" spans="1:6" x14ac:dyDescent="0.25">
      <c r="A17" s="22" t="s">
        <v>12</v>
      </c>
      <c r="B17" s="3">
        <f>SQRT(B16*(B16-B13)*(B16-B14)*(B16-B15))</f>
        <v>0.43296527577258742</v>
      </c>
    </row>
    <row r="19" spans="1:6" x14ac:dyDescent="0.25">
      <c r="A19" s="26" t="s">
        <v>23</v>
      </c>
      <c r="B19" s="27"/>
    </row>
    <row r="20" spans="1:6" x14ac:dyDescent="0.25">
      <c r="A20" s="22" t="s">
        <v>15</v>
      </c>
      <c r="B20" s="3">
        <f>SQRT((B8-B6)^2+(C8-C6)^2)</f>
        <v>1.7320033707630775</v>
      </c>
    </row>
    <row r="21" spans="1:6" x14ac:dyDescent="0.25">
      <c r="A21" s="22" t="s">
        <v>21</v>
      </c>
      <c r="B21" s="3">
        <f>SQRT((B8-B7)^2+(C8-C7)^2)</f>
        <v>1.0000821685178061</v>
      </c>
    </row>
    <row r="22" spans="1:6" x14ac:dyDescent="0.25">
      <c r="A22" s="22" t="s">
        <v>19</v>
      </c>
      <c r="B22" s="3">
        <f>SQRT((B7-B6)^2+(C7-C6)^2)</f>
        <v>2</v>
      </c>
    </row>
    <row r="23" spans="1:6" x14ac:dyDescent="0.25">
      <c r="A23" s="22" t="s">
        <v>18</v>
      </c>
      <c r="B23" s="3">
        <f>SUM(B20:B22)/2</f>
        <v>2.3660427696404418</v>
      </c>
    </row>
    <row r="24" spans="1:6" x14ac:dyDescent="0.25">
      <c r="A24" s="22" t="s">
        <v>12</v>
      </c>
      <c r="B24" s="22">
        <f>SQRT(B23*(B23-B20)*(B23-B21)*(B23-B22))</f>
        <v>0.86607284345644409</v>
      </c>
    </row>
    <row r="26" spans="1:6" x14ac:dyDescent="0.25">
      <c r="A26" s="22" t="s">
        <v>20</v>
      </c>
      <c r="B26" s="5">
        <f>B17+B24</f>
        <v>1.2990381192290315</v>
      </c>
    </row>
    <row r="27" spans="1:6" x14ac:dyDescent="0.25">
      <c r="B27" s="8">
        <f>B26*2</f>
        <v>2.5980762384580629</v>
      </c>
      <c r="C27" s="1" t="b">
        <f>B27&gt;=Trapezoid!B16</f>
        <v>1</v>
      </c>
    </row>
    <row r="28" spans="1:6" x14ac:dyDescent="0.25">
      <c r="B28" s="17">
        <f>B27/PI()</f>
        <v>0.82699335176039701</v>
      </c>
    </row>
    <row r="30" spans="1:6" ht="15.75" x14ac:dyDescent="0.25">
      <c r="B30" s="14">
        <v>-0.75</v>
      </c>
      <c r="C30" s="14">
        <v>0.25</v>
      </c>
      <c r="E30" s="1">
        <v>-1</v>
      </c>
      <c r="F30" s="1">
        <v>0</v>
      </c>
    </row>
    <row r="31" spans="1:6" ht="15.75" x14ac:dyDescent="0.25">
      <c r="B31" s="14">
        <v>0.88</v>
      </c>
      <c r="C31" s="14">
        <v>0.33</v>
      </c>
      <c r="E31" s="1">
        <v>1</v>
      </c>
      <c r="F31" s="1">
        <v>0</v>
      </c>
    </row>
    <row r="32" spans="1:6" ht="15.75" x14ac:dyDescent="0.25">
      <c r="B32" s="14">
        <v>0.4</v>
      </c>
      <c r="C32" s="14">
        <v>0.75</v>
      </c>
      <c r="E32" s="1">
        <v>0.49962955716226498</v>
      </c>
      <c r="F32" s="1">
        <v>0.86623954051005503</v>
      </c>
    </row>
    <row r="33" spans="2:6" ht="15.75" x14ac:dyDescent="0.25">
      <c r="B33" s="14">
        <v>-0.35</v>
      </c>
      <c r="C33" s="14">
        <v>0.7</v>
      </c>
      <c r="E33" s="1">
        <v>-0.49962955716226498</v>
      </c>
      <c r="F33" s="1">
        <v>0.86623954051005503</v>
      </c>
    </row>
    <row r="35" spans="2:6" x14ac:dyDescent="0.25">
      <c r="E35" s="1">
        <v>-0.95</v>
      </c>
      <c r="F35" s="1">
        <v>0.1</v>
      </c>
    </row>
    <row r="36" spans="2:6" x14ac:dyDescent="0.25">
      <c r="E36" s="1">
        <v>0.8</v>
      </c>
      <c r="F36" s="1">
        <v>0.08</v>
      </c>
    </row>
    <row r="37" spans="2:6" x14ac:dyDescent="0.25">
      <c r="E37" s="1">
        <v>0.49992406332029893</v>
      </c>
      <c r="F37" s="1">
        <v>0.8</v>
      </c>
    </row>
    <row r="38" spans="2:6" x14ac:dyDescent="0.25">
      <c r="E38" s="1">
        <v>-0.49992406332029893</v>
      </c>
      <c r="F38" s="1">
        <v>0.75</v>
      </c>
    </row>
  </sheetData>
  <mergeCells count="4">
    <mergeCell ref="A1:I1"/>
    <mergeCell ref="A2:I2"/>
    <mergeCell ref="A12:B12"/>
    <mergeCell ref="A19:B19"/>
  </mergeCells>
  <conditionalFormatting sqref="F6:H9">
    <cfRule type="cellIs" dxfId="0" priority="1" operator="equal">
      <formula>TRUE</formula>
    </cfRule>
  </conditionalFormatting>
  <hyperlinks>
    <hyperlink ref="A1" r:id="rId1" xr:uid="{1CEEF89A-3F69-4A42-8CA2-1D19FF15B616}"/>
    <hyperlink ref="A2" r:id="rId2" xr:uid="{C52ACBD5-3859-40BF-B3F8-B3DA3CCFCD83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Trapezoid</vt:lpstr>
      <vt:lpstr>Working</vt:lpstr>
      <vt:lpstr>Quadrilateral</vt:lpstr>
      <vt:lpstr>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2023-11-11T10:47:54Z</dcterms:created>
  <dcterms:modified xsi:type="dcterms:W3CDTF">2024-01-09T14:09:36Z</dcterms:modified>
</cp:coreProperties>
</file>