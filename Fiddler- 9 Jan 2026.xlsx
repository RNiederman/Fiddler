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ev\Python_Projects\MC\Fiddlers\"/>
    </mc:Choice>
  </mc:AlternateContent>
  <xr:revisionPtr revIDLastSave="0" documentId="13_ncr:1_{F859640E-4B45-4D5B-9B1D-453839F7315D}" xr6:coauthVersionLast="47" xr6:coauthVersionMax="47" xr10:uidLastSave="{00000000-0000-0000-0000-000000000000}"/>
  <bookViews>
    <workbookView xWindow="19090" yWindow="-110" windowWidth="19420" windowHeight="10300" xr2:uid="{05D16158-D316-4F4C-A88D-47447C436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I3" i="1"/>
  <c r="I6" i="1"/>
  <c r="H3" i="1"/>
  <c r="E3" i="1"/>
  <c r="E6" i="1"/>
  <c r="D3" i="1"/>
  <c r="B4" i="1"/>
  <c r="D4" i="1" s="1"/>
  <c r="C5" i="1"/>
  <c r="F5" i="1"/>
  <c r="G4" i="1"/>
  <c r="I4" i="1" s="1"/>
  <c r="H5" i="1" l="1"/>
  <c r="H4" i="1"/>
  <c r="E4" i="1"/>
  <c r="B5" i="1"/>
  <c r="G5" i="1"/>
  <c r="I5" i="1" s="1"/>
  <c r="I7" i="1" s="1"/>
  <c r="E5" i="1" l="1"/>
  <c r="E7" i="1" s="1"/>
  <c r="D5" i="1"/>
</calcChain>
</file>

<file path=xl/sharedStrings.xml><?xml version="1.0" encoding="utf-8"?>
<sst xmlns="http://schemas.openxmlformats.org/spreadsheetml/2006/main" count="15" uniqueCount="11">
  <si>
    <t>Coffee</t>
  </si>
  <si>
    <t>Tea</t>
  </si>
  <si>
    <t>Before</t>
  </si>
  <si>
    <t>Mug2</t>
  </si>
  <si>
    <t>Mug1</t>
  </si>
  <si>
    <t>Mix 1</t>
  </si>
  <si>
    <t>Mix 2</t>
  </si>
  <si>
    <t>% Tea</t>
  </si>
  <si>
    <t>% Coffee</t>
  </si>
  <si>
    <t>https://thefiddler.substack.com/p/some-coffee-with-your-tea</t>
  </si>
  <si>
    <t>https://thefiddler.substack.com/p/can-you-brighten-up-the-room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</si>
</sst>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=1]0%;[=0]\ ;0.0#%"/>
    <numFmt numFmtId="165" formatCode="General;;"/>
  </numFmts>
  <fonts count="3" x14ac:knownFonts="1">
    <font>
      <sz val="11"/>
      <color theme="1"/>
      <name val="Consolas"/>
      <family val="2"/>
    </font>
    <font>
      <u/>
      <sz val="11"/>
      <color theme="10"/>
      <name val="Consolas"/>
      <family val="2"/>
    </font>
    <font>
      <b/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1" xfId="0" applyBorder="1"/>
    <xf numFmtId="164" fontId="0" fillId="0" borderId="1" xfId="0" applyNumberFormat="1" applyBorder="1"/>
    <xf numFmtId="0" fontId="0" fillId="0" borderId="3" xfId="0" applyBorder="1"/>
    <xf numFmtId="0" fontId="0" fillId="0" borderId="4" xfId="0" applyBorder="1"/>
    <xf numFmtId="164" fontId="0" fillId="0" borderId="2" xfId="0" applyNumberFormat="1" applyBorder="1"/>
    <xf numFmtId="3" fontId="0" fillId="0" borderId="3" xfId="0" applyNumberFormat="1" applyBorder="1"/>
    <xf numFmtId="3" fontId="0" fillId="0" borderId="1" xfId="0" applyNumberFormat="1" applyBorder="1"/>
    <xf numFmtId="3" fontId="0" fillId="0" borderId="0" xfId="0" applyNumberFormat="1"/>
    <xf numFmtId="164" fontId="0" fillId="0" borderId="9" xfId="0" applyNumberFormat="1" applyBorder="1"/>
    <xf numFmtId="164" fontId="0" fillId="0" borderId="10" xfId="0" applyNumberFormat="1" applyBorder="1"/>
    <xf numFmtId="165" fontId="0" fillId="0" borderId="3" xfId="0" applyNumberFormat="1" applyBorder="1"/>
    <xf numFmtId="165" fontId="0" fillId="0" borderId="1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164" fontId="0" fillId="0" borderId="0" xfId="0" applyNumberFormat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hefiddler.substack.com/p/can-you-brighten-up-the-room" TargetMode="External"/><Relationship Id="rId1" Type="http://schemas.openxmlformats.org/officeDocument/2006/relationships/hyperlink" Target="https://thefiddler.substack.com/p/some-coffee-with-your-t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1292-C925-451A-991C-EDFDB8AB06F8}">
  <sheetPr codeName="Sheet1"/>
  <dimension ref="A1:K7"/>
  <sheetViews>
    <sheetView tabSelected="1" workbookViewId="0">
      <selection activeCell="K2" sqref="K2"/>
    </sheetView>
  </sheetViews>
  <sheetFormatPr defaultRowHeight="15" x14ac:dyDescent="0.25"/>
  <cols>
    <col min="2" max="2" width="7" bestFit="1" customWidth="1"/>
    <col min="3" max="3" width="4.875" bestFit="1" customWidth="1"/>
    <col min="4" max="4" width="8.875" bestFit="1" customWidth="1"/>
    <col min="5" max="5" width="5.875" bestFit="1" customWidth="1"/>
    <col min="6" max="6" width="4.875" bestFit="1" customWidth="1"/>
    <col min="7" max="8" width="6.875" bestFit="1" customWidth="1"/>
    <col min="9" max="9" width="8.875" bestFit="1" customWidth="1"/>
    <col min="10" max="10" width="4.875" bestFit="1" customWidth="1"/>
  </cols>
  <sheetData>
    <row r="1" spans="1:11" x14ac:dyDescent="0.25">
      <c r="B1" s="18" t="s">
        <v>4</v>
      </c>
      <c r="C1" s="19"/>
      <c r="D1" s="20"/>
      <c r="E1" s="21"/>
      <c r="F1" s="22" t="s">
        <v>3</v>
      </c>
      <c r="G1" s="23"/>
      <c r="H1" s="20"/>
      <c r="I1" s="21"/>
      <c r="K1" s="2" t="s">
        <v>9</v>
      </c>
    </row>
    <row r="2" spans="1:11" x14ac:dyDescent="0.25">
      <c r="B2" s="8" t="s">
        <v>0</v>
      </c>
      <c r="C2" s="9" t="s">
        <v>1</v>
      </c>
      <c r="D2" s="4" t="s">
        <v>8</v>
      </c>
      <c r="E2" s="7" t="s">
        <v>7</v>
      </c>
      <c r="F2" s="5" t="s">
        <v>1</v>
      </c>
      <c r="G2" s="3" t="s">
        <v>0</v>
      </c>
      <c r="H2" s="4" t="s">
        <v>7</v>
      </c>
      <c r="I2" s="7" t="s">
        <v>8</v>
      </c>
      <c r="K2" s="2" t="s">
        <v>10</v>
      </c>
    </row>
    <row r="3" spans="1:11" x14ac:dyDescent="0.25">
      <c r="A3" s="6" t="s">
        <v>2</v>
      </c>
      <c r="B3" s="13">
        <v>1</v>
      </c>
      <c r="C3" s="14">
        <v>0</v>
      </c>
      <c r="D3" s="4">
        <f>B3/SUM($B3:$C3)</f>
        <v>1</v>
      </c>
      <c r="E3" s="7">
        <f>C3/SUM($B3:$C3)</f>
        <v>0</v>
      </c>
      <c r="F3" s="13">
        <v>1</v>
      </c>
      <c r="G3" s="14">
        <v>0</v>
      </c>
      <c r="H3" s="4">
        <f t="shared" ref="H3:I5" si="0">F3/SUM($F3:$G3)</f>
        <v>1</v>
      </c>
      <c r="I3" s="7">
        <f t="shared" si="0"/>
        <v>0</v>
      </c>
    </row>
    <row r="4" spans="1:11" x14ac:dyDescent="0.25">
      <c r="A4" s="6" t="s">
        <v>5</v>
      </c>
      <c r="B4" s="13">
        <f>B3*11/12</f>
        <v>0.91666666666666663</v>
      </c>
      <c r="C4" s="14">
        <v>0</v>
      </c>
      <c r="D4" s="4">
        <f>B4/SUM(B4:C4)</f>
        <v>1</v>
      </c>
      <c r="E4" s="7">
        <f>C4/SUM($B4:$C4)</f>
        <v>0</v>
      </c>
      <c r="F4" s="13">
        <v>1</v>
      </c>
      <c r="G4" s="14">
        <f>G3+1/12</f>
        <v>8.3333333333333329E-2</v>
      </c>
      <c r="H4" s="4">
        <f t="shared" si="0"/>
        <v>0.92307692307692313</v>
      </c>
      <c r="I4" s="7">
        <f t="shared" si="0"/>
        <v>7.6923076923076927E-2</v>
      </c>
    </row>
    <row r="5" spans="1:11" ht="15.75" thickBot="1" x14ac:dyDescent="0.3">
      <c r="A5" s="6" t="s">
        <v>6</v>
      </c>
      <c r="B5" s="15">
        <f>B4+G4/13</f>
        <v>0.92307692307692302</v>
      </c>
      <c r="C5" s="16">
        <f>C4+F4/13</f>
        <v>7.6923076923076927E-2</v>
      </c>
      <c r="D5" s="11">
        <f>B5/SUM(B5:C5)</f>
        <v>0.92307692307692302</v>
      </c>
      <c r="E5" s="12">
        <f>C5/SUM($B5:$C5)</f>
        <v>7.6923076923076927E-2</v>
      </c>
      <c r="F5" s="15">
        <f>12/13*F4</f>
        <v>0.92307692307692313</v>
      </c>
      <c r="G5" s="16">
        <f>12/13*G4</f>
        <v>7.6923076923076927E-2</v>
      </c>
      <c r="H5" s="11">
        <f t="shared" si="0"/>
        <v>0.92307692307692313</v>
      </c>
      <c r="I5" s="12">
        <f t="shared" si="0"/>
        <v>7.6923076923076927E-2</v>
      </c>
      <c r="J5" t="b">
        <f>E5=I5</f>
        <v>1</v>
      </c>
    </row>
    <row r="6" spans="1:11" x14ac:dyDescent="0.25">
      <c r="B6" s="10"/>
      <c r="C6" s="10"/>
      <c r="D6" s="1"/>
      <c r="E6" s="1">
        <f>1/13</f>
        <v>7.6923076923076927E-2</v>
      </c>
      <c r="H6" s="1"/>
      <c r="I6" s="17">
        <f>1/13</f>
        <v>7.6923076923076927E-2</v>
      </c>
    </row>
    <row r="7" spans="1:11" x14ac:dyDescent="0.25">
      <c r="B7" s="10"/>
      <c r="C7" s="10"/>
      <c r="D7" s="1"/>
      <c r="E7" s="1" t="b">
        <f>E5=E6</f>
        <v>1</v>
      </c>
      <c r="H7" s="1"/>
      <c r="I7" s="17" t="b">
        <f>I5=I6</f>
        <v>1</v>
      </c>
    </row>
  </sheetData>
  <mergeCells count="2">
    <mergeCell ref="B1:E1"/>
    <mergeCell ref="F1:I1"/>
  </mergeCells>
  <hyperlinks>
    <hyperlink ref="K1" r:id="rId1" xr:uid="{70508538-E11F-4B53-9701-F3701A90656F}"/>
    <hyperlink ref="K2" r:id="rId2" xr:uid="{A317F3BE-683C-42BE-89EF-C153FED052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TRSS,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Niederman</dc:creator>
  <cp:lastModifiedBy>Rob Niederman</cp:lastModifiedBy>
  <dcterms:created xsi:type="dcterms:W3CDTF">2026-01-09T14:09:27Z</dcterms:created>
  <dcterms:modified xsi:type="dcterms:W3CDTF">2026-01-16T13:40:50Z</dcterms:modified>
</cp:coreProperties>
</file>